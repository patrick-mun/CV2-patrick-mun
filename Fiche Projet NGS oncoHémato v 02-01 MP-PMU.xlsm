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6.xml" ContentType="application/vnd.openxmlformats-officedocument.spreadsheetml.comments+xml"/>
  <Override PartName="/xl/tables/table1.xml" ContentType="application/vnd.openxmlformats-officedocument.spreadsheetml.tab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7" codeName="{C80E003A-6C80-AF87-3323-10F97C11A349}"/>
  <workbookPr codeName="ThisWorkbook"/>
  <mc:AlternateContent xmlns:mc="http://schemas.openxmlformats.org/markup-compatibility/2006">
    <mc:Choice Requires="x15">
      <x15ac:absPath xmlns:x15ac="http://schemas.microsoft.com/office/spreadsheetml/2010/11/ac" url="/Users/utilisateur/Downloads/"/>
    </mc:Choice>
  </mc:AlternateContent>
  <xr:revisionPtr revIDLastSave="0" documentId="8_{5DAE0D53-839B-514A-A294-D73A6D680DD6}" xr6:coauthVersionLast="47" xr6:coauthVersionMax="47" xr10:uidLastSave="{00000000-0000-0000-0000-000000000000}"/>
  <bookViews>
    <workbookView xWindow="0" yWindow="500" windowWidth="28800" windowHeight="15800" activeTab="5" xr2:uid="{00000000-000D-0000-FFFF-FFFF00000000}"/>
  </bookViews>
  <sheets>
    <sheet name="note" sheetId="14" state="hidden" r:id="rId1"/>
    <sheet name="RESUME" sheetId="15" r:id="rId2"/>
    <sheet name="1- Avant Projet" sheetId="12" r:id="rId3"/>
    <sheet name="2- SYNTHESE FIN" sheetId="7" r:id="rId4"/>
    <sheet name="2.1 INVEST" sheetId="3" r:id="rId5"/>
    <sheet name="2.2 ACTIVITE RECETTES" sheetId="16" r:id="rId6"/>
    <sheet name="2.3 RH" sheetId="2" r:id="rId7"/>
    <sheet name="Maquette PM" sheetId="20" state="hidden" r:id="rId8"/>
    <sheet name="Maquette PNM" sheetId="22" state="hidden" r:id="rId9"/>
    <sheet name="2.4 Dep Med et MDT" sheetId="4" r:id="rId10"/>
    <sheet name="2.5 T3 Dep hot et induites" sheetId="5" r:id="rId11"/>
    <sheet name="3- EVALUATION" sheetId="17" r:id="rId12"/>
    <sheet name="CYCLE PROJET" sheetId="19" r:id="rId13"/>
    <sheet name="Valorisation" sheetId="25" state="hidden" r:id="rId14"/>
    <sheet name="NGS Projet recap financier" sheetId="31" r:id="rId15"/>
    <sheet name="Calculateur de prêt" sheetId="32" r:id="rId16"/>
    <sheet name="cout RH" sheetId="18" r:id="rId17"/>
    <sheet name="NGS maison bioinfo local" sheetId="23" state="hidden" r:id="rId18"/>
    <sheet name="recap" sheetId="27" state="hidden" r:id="rId19"/>
    <sheet name="NGS commercial bioinfo external" sheetId="24" state="hidden" r:id="rId20"/>
    <sheet name="mail" sheetId="26" r:id="rId21"/>
    <sheet name="mail MP" sheetId="34" r:id="rId22"/>
    <sheet name="LZHEMATO" sheetId="33" r:id="rId23"/>
    <sheet name="Feuil2" sheetId="35" state="hidden" r:id="rId24"/>
    <sheet name="RIHN-SST" sheetId="28" r:id="rId25"/>
    <sheet name="Listes déroulantes" sheetId="13" state="hidden" r:id="rId26"/>
    <sheet name="Cout par Jr HC" sheetId="8" state="hidden" r:id="rId27"/>
    <sheet name="Charges indirectes" sheetId="9" state="hidden" r:id="rId28"/>
    <sheet name="Charges directes" sheetId="10" state="hidden" r:id="rId29"/>
  </sheets>
  <functionGroups builtInGroupCount="19"/>
  <externalReferences>
    <externalReference r:id="rId30"/>
    <externalReference r:id="rId31"/>
    <externalReference r:id="rId32"/>
    <externalReference r:id="rId33"/>
  </externalReferences>
  <definedNames>
    <definedName name="_xlnm._FilterDatabase" localSheetId="24" hidden="1">'RIHN-SST'!$B$10:$M$149</definedName>
    <definedName name="An_1" localSheetId="15">'[1]1- Avant Projet'!$I$106</definedName>
    <definedName name="An_1" localSheetId="22">'[2]1- Avant Projet'!$I$96</definedName>
    <definedName name="An_1" localSheetId="14">'[3]1- Avant Projet'!$I$96</definedName>
    <definedName name="An_1">'1- Avant Projet'!$I$96</definedName>
    <definedName name="An_réf">'2.4 Dep Med et MDT'!$B$11</definedName>
    <definedName name="Capital">-PPMT(Taux_Intérêt/12,Numéro_Paiement,Nombre_Paiements,Montant_Prêt)</definedName>
    <definedName name="Ch_Indirect">'2.5 T3 Dep hot et induites'!$A$31</definedName>
    <definedName name="Ch_Induites">'2.4 Dep Med et MDT'!$A$33</definedName>
    <definedName name="Cod_projet" localSheetId="15">'[1]1- Avant Projet'!$M$4</definedName>
    <definedName name="Cod_projet" localSheetId="22">'[2]1- Avant Projet'!$M$4</definedName>
    <definedName name="Cod_projet" localSheetId="14">'[3]1- Avant Projet'!$M$4</definedName>
    <definedName name="Cod_projet">'1- Avant Projet'!$M$4</definedName>
    <definedName name="Coût_Total">'Calculateur de prêt'!$E$11</definedName>
    <definedName name="Date_Paiement">DATE(YEAR(Début_Prêt),MONTH(Début_Prêt)+Numéro_Paiement,DAY(Début_Prêt))</definedName>
    <definedName name="Début_Prêt">'Calculateur de prêt'!$E$6</definedName>
    <definedName name="Dernière_Ligne">IF(Values_Entered,Ligne_EnTête+Nombre_Paiements,Ligne_EnTête)</definedName>
    <definedName name="Durée_Prêt">'Calculateur de prêt'!$E$5</definedName>
    <definedName name="finess_nonreconnu">'[4]Liste finess  non reconnus'!$D:$E</definedName>
    <definedName name="_xlnm.Print_Titles" localSheetId="2">'1- Avant Projet'!$1:$8</definedName>
    <definedName name="_xlnm.Print_Titles" localSheetId="15">'Calculateur de prêt'!$12:$12</definedName>
    <definedName name="Impression_Entière">'Calculateur de prêt'!$A$1:$H$372</definedName>
    <definedName name="Intérêts">-IPMT(Taux_Intérêt/12,Numéro_Paiement,Nombre_Paiements,Montant_Prêt)</definedName>
    <definedName name="Ligne_EnTête">ROW('Calculateur de prêt'!$12:$12)</definedName>
    <definedName name="Ligne_EnTête_Arrière">ROW('Calculateur de prêt'!$12:$12)</definedName>
    <definedName name="Mensualité">-PMT(Taux_Intérêt/12,Nombre_Paiements,Montant_Prêt)</definedName>
    <definedName name="MOIS" localSheetId="22">#REF!</definedName>
    <definedName name="MOIS" localSheetId="14">#REF!</definedName>
    <definedName name="MOIS">#REF!</definedName>
    <definedName name="Montant_Prêt">'Calculateur de prêt'!$E$3</definedName>
    <definedName name="Nombre_Paiements">'Calculateur de prêt'!$E$9</definedName>
    <definedName name="Numéro_Paiement">ROW()-Ligne_EnTête</definedName>
    <definedName name="Prêt_Non_Payé">IF(Numéro_Paiement&lt;=Nombre_Paiements,1,0)</definedName>
    <definedName name="Recet_Marg" localSheetId="5">'2.2 ACTIVITE RECETTES'!$A$68</definedName>
    <definedName name="Solde_Départ">-FV(Taux_Intérêt/12,Numéro_Paiement-1,-Mensualité,Montant_Prêt)</definedName>
    <definedName name="Solde_Final">-FV(Taux_Intérêt/12,Numéro_Paiement,-Mensualité,Montant_Prêt)</definedName>
    <definedName name="Taux_Intérêt">'Calculateur de prêt'!$E$4</definedName>
    <definedName name="TitreColonne1">Prêt[[#Headers],[N°]]</definedName>
    <definedName name="Total_Intérêts">'Calculateur de prêt'!$E$10</definedName>
    <definedName name="Valeurs_Entrées">IF(Montant_Prêt*Taux_Intérêt*Durée_Prêt*Début_Prêt&gt;0,1,0)</definedName>
    <definedName name="_xlnm.Print_Area" localSheetId="2">'1- Avant Projet'!$A$1:$N$149</definedName>
    <definedName name="_xlnm.Print_Area" localSheetId="3">'2- SYNTHESE FIN'!$A:$F</definedName>
    <definedName name="_xlnm.Print_Area" localSheetId="4">'2.1 INVEST'!$A:$K</definedName>
    <definedName name="_xlnm.Print_Area" localSheetId="5">'2.2 ACTIVITE RECETTES'!$N$1:$W$52</definedName>
    <definedName name="_xlnm.Print_Area" localSheetId="6">'2.3 RH'!$A:$I</definedName>
    <definedName name="_xlnm.Print_Area" localSheetId="10">'2.5 T3 Dep hot et induites'!$A:$I</definedName>
    <definedName name="_xlnm.Print_Area" localSheetId="11">'3- EVALUATION'!$A:$F</definedName>
    <definedName name="_xlnm.Print_Area" localSheetId="16">'cout RH'!$A$1:$C$59</definedName>
    <definedName name="_xlnm.Print_Area" localSheetId="12">'CYCLE PROJET'!$A:$M</definedName>
    <definedName name="_xlnm.Print_Area" localSheetId="14">'NGS Projet recap financier'!$A$46:$T$67</definedName>
    <definedName name="_xlnm.Print_Area" localSheetId="1">RESUME!$A:$M</definedName>
    <definedName name="_xlnm.Print_Area" localSheetId="13">Valorisation!$A$1:$L$42</definedName>
    <definedName name="ZoneTitreLigne1..E6">'Calculateur de prêt'!$B$3</definedName>
    <definedName name="ZoneTitreLigne2..E11">'Calculateur de prêt'!$B$8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2" i="7" l="1"/>
  <c r="E22" i="7"/>
  <c r="D22" i="7"/>
  <c r="C22" i="7"/>
  <c r="B22" i="7"/>
  <c r="G63" i="31" l="1"/>
  <c r="G62" i="31"/>
  <c r="G58" i="31"/>
  <c r="G56" i="31"/>
  <c r="L31" i="33" l="1"/>
  <c r="G31" i="33"/>
  <c r="L28" i="33"/>
  <c r="G28" i="33"/>
  <c r="L25" i="33"/>
  <c r="G25" i="33"/>
  <c r="G32" i="33" s="1"/>
  <c r="L15" i="33"/>
  <c r="L14" i="33"/>
  <c r="L16" i="33" s="1"/>
  <c r="G14" i="33"/>
  <c r="L9" i="33"/>
  <c r="G9" i="33"/>
  <c r="C9" i="33"/>
  <c r="G15" i="33" l="1"/>
  <c r="G17" i="33" s="1"/>
  <c r="G37" i="33" s="1"/>
  <c r="G43" i="33" s="1"/>
  <c r="G46" i="33" s="1"/>
  <c r="L32" i="33"/>
  <c r="L43" i="33" s="1"/>
  <c r="L45" i="33" s="1"/>
  <c r="G54" i="31"/>
  <c r="G53" i="31"/>
  <c r="B20" i="7" l="1"/>
  <c r="B52" i="7" s="1"/>
  <c r="F19" i="7"/>
  <c r="E19" i="7"/>
  <c r="D19" i="7"/>
  <c r="F20" i="7" l="1"/>
  <c r="E20" i="7"/>
  <c r="C20" i="7"/>
  <c r="D20" i="7"/>
  <c r="J144" i="28" l="1"/>
  <c r="K144" i="28" s="1"/>
  <c r="J142" i="28"/>
  <c r="K142" i="28" s="1"/>
  <c r="J141" i="28"/>
  <c r="K141" i="28" s="1"/>
  <c r="J140" i="28"/>
  <c r="K140" i="28" s="1"/>
  <c r="J139" i="28"/>
  <c r="K139" i="28" s="1"/>
  <c r="J138" i="28"/>
  <c r="K138" i="28" s="1"/>
  <c r="J137" i="28"/>
  <c r="K137" i="28" s="1"/>
  <c r="J136" i="28"/>
  <c r="K136" i="28" s="1"/>
  <c r="J135" i="28"/>
  <c r="K135" i="28" s="1"/>
  <c r="J134" i="28"/>
  <c r="K134" i="28" s="1"/>
  <c r="J133" i="28"/>
  <c r="K133" i="28" s="1"/>
  <c r="J132" i="28"/>
  <c r="K132" i="28" s="1"/>
  <c r="J131" i="28"/>
  <c r="K131" i="28" s="1"/>
  <c r="J130" i="28"/>
  <c r="K130" i="28" s="1"/>
  <c r="J129" i="28"/>
  <c r="K129" i="28" s="1"/>
  <c r="J128" i="28"/>
  <c r="K128" i="28" s="1"/>
  <c r="J127" i="28"/>
  <c r="K127" i="28" s="1"/>
  <c r="J126" i="28"/>
  <c r="K126" i="28" s="1"/>
  <c r="J125" i="28"/>
  <c r="K125" i="28" s="1"/>
  <c r="J124" i="28"/>
  <c r="K124" i="28" s="1"/>
  <c r="J123" i="28"/>
  <c r="K123" i="28" s="1"/>
  <c r="J122" i="28"/>
  <c r="K122" i="28" s="1"/>
  <c r="J121" i="28"/>
  <c r="K121" i="28" s="1"/>
  <c r="J120" i="28"/>
  <c r="K120" i="28" s="1"/>
  <c r="J119" i="28"/>
  <c r="K119" i="28" s="1"/>
  <c r="J118" i="28"/>
  <c r="K118" i="28" s="1"/>
  <c r="J117" i="28"/>
  <c r="K117" i="28" s="1"/>
  <c r="J116" i="28"/>
  <c r="K116" i="28" s="1"/>
  <c r="J115" i="28"/>
  <c r="K115" i="28" s="1"/>
  <c r="J114" i="28"/>
  <c r="K114" i="28" s="1"/>
  <c r="J113" i="28"/>
  <c r="K113" i="28" s="1"/>
  <c r="J112" i="28"/>
  <c r="K112" i="28" s="1"/>
  <c r="J111" i="28"/>
  <c r="K111" i="28" s="1"/>
  <c r="J110" i="28"/>
  <c r="K110" i="28" s="1"/>
  <c r="J109" i="28"/>
  <c r="K109" i="28" s="1"/>
  <c r="J108" i="28"/>
  <c r="K108" i="28" s="1"/>
  <c r="J107" i="28"/>
  <c r="K107" i="28" s="1"/>
  <c r="J106" i="28"/>
  <c r="K106" i="28" s="1"/>
  <c r="J105" i="28"/>
  <c r="K105" i="28" s="1"/>
  <c r="J104" i="28"/>
  <c r="K104" i="28" s="1"/>
  <c r="J103" i="28"/>
  <c r="K103" i="28" s="1"/>
  <c r="J102" i="28"/>
  <c r="K102" i="28" s="1"/>
  <c r="J101" i="28"/>
  <c r="K101" i="28" s="1"/>
  <c r="J100" i="28"/>
  <c r="K100" i="28" s="1"/>
  <c r="J99" i="28"/>
  <c r="K99" i="28" s="1"/>
  <c r="J98" i="28"/>
  <c r="K98" i="28" s="1"/>
  <c r="J97" i="28"/>
  <c r="K97" i="28" s="1"/>
  <c r="J96" i="28"/>
  <c r="K96" i="28" s="1"/>
  <c r="J95" i="28"/>
  <c r="K95" i="28" s="1"/>
  <c r="J94" i="28"/>
  <c r="K94" i="28" s="1"/>
  <c r="J93" i="28"/>
  <c r="K93" i="28" s="1"/>
  <c r="J92" i="28"/>
  <c r="K92" i="28" s="1"/>
  <c r="J91" i="28"/>
  <c r="K91" i="28" s="1"/>
  <c r="J90" i="28"/>
  <c r="K90" i="28" s="1"/>
  <c r="J89" i="28"/>
  <c r="K89" i="28" s="1"/>
  <c r="J88" i="28"/>
  <c r="K88" i="28" s="1"/>
  <c r="J87" i="28"/>
  <c r="K87" i="28" s="1"/>
  <c r="J86" i="28"/>
  <c r="K86" i="28" s="1"/>
  <c r="J85" i="28"/>
  <c r="K85" i="28" s="1"/>
  <c r="J84" i="28"/>
  <c r="K84" i="28" s="1"/>
  <c r="J83" i="28"/>
  <c r="K83" i="28" s="1"/>
  <c r="J82" i="28"/>
  <c r="K82" i="28" s="1"/>
  <c r="J81" i="28"/>
  <c r="K81" i="28" s="1"/>
  <c r="J80" i="28"/>
  <c r="K80" i="28" s="1"/>
  <c r="J79" i="28"/>
  <c r="K79" i="28" s="1"/>
  <c r="J78" i="28"/>
  <c r="K78" i="28" s="1"/>
  <c r="J77" i="28"/>
  <c r="K77" i="28" s="1"/>
  <c r="J76" i="28"/>
  <c r="K76" i="28" s="1"/>
  <c r="J75" i="28"/>
  <c r="K75" i="28" s="1"/>
  <c r="J74" i="28"/>
  <c r="K74" i="28" s="1"/>
  <c r="J73" i="28"/>
  <c r="K73" i="28" s="1"/>
  <c r="J72" i="28"/>
  <c r="K72" i="28" s="1"/>
  <c r="J71" i="28"/>
  <c r="K71" i="28" s="1"/>
  <c r="J70" i="28"/>
  <c r="K70" i="28" s="1"/>
  <c r="J69" i="28"/>
  <c r="K69" i="28" s="1"/>
  <c r="J68" i="28"/>
  <c r="K68" i="28" s="1"/>
  <c r="J67" i="28"/>
  <c r="K67" i="28" s="1"/>
  <c r="J66" i="28"/>
  <c r="K66" i="28" s="1"/>
  <c r="J65" i="28"/>
  <c r="K65" i="28" s="1"/>
  <c r="J64" i="28"/>
  <c r="K64" i="28" s="1"/>
  <c r="J63" i="28"/>
  <c r="K63" i="28" s="1"/>
  <c r="J62" i="28"/>
  <c r="K62" i="28" s="1"/>
  <c r="J61" i="28"/>
  <c r="K61" i="28" s="1"/>
  <c r="J60" i="28"/>
  <c r="K60" i="28" s="1"/>
  <c r="J59" i="28"/>
  <c r="K59" i="28" s="1"/>
  <c r="J58" i="28"/>
  <c r="K58" i="28" s="1"/>
  <c r="J57" i="28"/>
  <c r="K57" i="28" s="1"/>
  <c r="J56" i="28"/>
  <c r="K56" i="28" s="1"/>
  <c r="J55" i="28"/>
  <c r="K55" i="28" s="1"/>
  <c r="J54" i="28"/>
  <c r="K54" i="28" s="1"/>
  <c r="J53" i="28"/>
  <c r="K53" i="28" s="1"/>
  <c r="J52" i="28"/>
  <c r="K52" i="28" s="1"/>
  <c r="J51" i="28"/>
  <c r="K51" i="28" s="1"/>
  <c r="J50" i="28"/>
  <c r="K50" i="28" s="1"/>
  <c r="J49" i="28"/>
  <c r="K49" i="28" s="1"/>
  <c r="J48" i="28"/>
  <c r="K48" i="28" s="1"/>
  <c r="J47" i="28"/>
  <c r="K47" i="28" s="1"/>
  <c r="J46" i="28"/>
  <c r="K46" i="28" s="1"/>
  <c r="J45" i="28"/>
  <c r="K45" i="28" s="1"/>
  <c r="J44" i="28"/>
  <c r="K44" i="28" s="1"/>
  <c r="J43" i="28"/>
  <c r="K43" i="28" s="1"/>
  <c r="J42" i="28"/>
  <c r="K42" i="28" s="1"/>
  <c r="J41" i="28"/>
  <c r="K41" i="28" s="1"/>
  <c r="K40" i="28"/>
  <c r="J40" i="28"/>
  <c r="J39" i="28"/>
  <c r="K39" i="28" s="1"/>
  <c r="J38" i="28"/>
  <c r="K38" i="28" s="1"/>
  <c r="J37" i="28"/>
  <c r="K37" i="28" s="1"/>
  <c r="J36" i="28"/>
  <c r="K36" i="28" s="1"/>
  <c r="J35" i="28"/>
  <c r="K35" i="28" s="1"/>
  <c r="J34" i="28"/>
  <c r="K34" i="28" s="1"/>
  <c r="J33" i="28"/>
  <c r="K33" i="28" s="1"/>
  <c r="J32" i="28"/>
  <c r="K32" i="28" s="1"/>
  <c r="J31" i="28"/>
  <c r="K31" i="28" s="1"/>
  <c r="J30" i="28"/>
  <c r="K30" i="28" s="1"/>
  <c r="J29" i="28"/>
  <c r="K29" i="28" s="1"/>
  <c r="J28" i="28"/>
  <c r="K28" i="28" s="1"/>
  <c r="J27" i="28"/>
  <c r="K27" i="28" s="1"/>
  <c r="J26" i="28"/>
  <c r="K26" i="28" s="1"/>
  <c r="J25" i="28"/>
  <c r="K25" i="28" s="1"/>
  <c r="J24" i="28"/>
  <c r="K24" i="28" s="1"/>
  <c r="J23" i="28"/>
  <c r="K23" i="28" s="1"/>
  <c r="J22" i="28"/>
  <c r="K22" i="28" s="1"/>
  <c r="J21" i="28"/>
  <c r="K21" i="28" s="1"/>
  <c r="J20" i="28"/>
  <c r="K20" i="28" s="1"/>
  <c r="J19" i="28"/>
  <c r="K19" i="28" s="1"/>
  <c r="J18" i="28"/>
  <c r="K18" i="28" s="1"/>
  <c r="J17" i="28"/>
  <c r="K17" i="28" s="1"/>
  <c r="J16" i="28"/>
  <c r="K16" i="28" s="1"/>
  <c r="J15" i="28"/>
  <c r="K15" i="28" s="1"/>
  <c r="J14" i="28"/>
  <c r="K14" i="28" s="1"/>
  <c r="J13" i="28"/>
  <c r="K13" i="28" s="1"/>
  <c r="J12" i="28"/>
  <c r="K12" i="28" s="1"/>
  <c r="J11" i="28"/>
  <c r="K11" i="28" s="1"/>
  <c r="E9" i="32" l="1"/>
  <c r="B135" i="32" s="1"/>
  <c r="E8" i="32" l="1"/>
  <c r="E11" i="32"/>
  <c r="E10" i="32" s="1"/>
  <c r="F10" i="32" s="1"/>
  <c r="E13" i="32"/>
  <c r="D13" i="32"/>
  <c r="H13" i="32"/>
  <c r="E14" i="32"/>
  <c r="B15" i="32"/>
  <c r="F15" i="32"/>
  <c r="C16" i="32"/>
  <c r="G16" i="32"/>
  <c r="D17" i="32"/>
  <c r="H17" i="32"/>
  <c r="E18" i="32"/>
  <c r="B19" i="32"/>
  <c r="F19" i="32"/>
  <c r="C20" i="32"/>
  <c r="G20" i="32"/>
  <c r="D21" i="32"/>
  <c r="H21" i="32"/>
  <c r="E22" i="32"/>
  <c r="B23" i="32"/>
  <c r="G23" i="32"/>
  <c r="D24" i="32"/>
  <c r="B25" i="32"/>
  <c r="H25" i="32"/>
  <c r="F26" i="32"/>
  <c r="D27" i="32"/>
  <c r="C28" i="32"/>
  <c r="H28" i="32"/>
  <c r="F29" i="32"/>
  <c r="E30" i="32"/>
  <c r="C31" i="32"/>
  <c r="H31" i="32"/>
  <c r="G32" i="32"/>
  <c r="E33" i="32"/>
  <c r="C34" i="32"/>
  <c r="B35" i="32"/>
  <c r="G35" i="32"/>
  <c r="D36" i="32"/>
  <c r="C37" i="32"/>
  <c r="H37" i="32"/>
  <c r="F38" i="32"/>
  <c r="F39" i="32"/>
  <c r="G40" i="32"/>
  <c r="H41" i="32"/>
  <c r="B43" i="32"/>
  <c r="C44" i="32"/>
  <c r="D45" i="32"/>
  <c r="E46" i="32"/>
  <c r="F47" i="32"/>
  <c r="F48" i="32"/>
  <c r="G49" i="32"/>
  <c r="H50" i="32"/>
  <c r="B52" i="32"/>
  <c r="C53" i="32"/>
  <c r="D54" i="32"/>
  <c r="E55" i="32"/>
  <c r="F56" i="32"/>
  <c r="G57" i="32"/>
  <c r="H58" i="32"/>
  <c r="B61" i="32"/>
  <c r="C62" i="32"/>
  <c r="D63" i="32"/>
  <c r="E64" i="32"/>
  <c r="F65" i="32"/>
  <c r="G66" i="32"/>
  <c r="H67" i="32"/>
  <c r="B69" i="32"/>
  <c r="C70" i="32"/>
  <c r="D71" i="32"/>
  <c r="D72" i="32"/>
  <c r="E73" i="32"/>
  <c r="F74" i="32"/>
  <c r="G75" i="32"/>
  <c r="H76" i="32"/>
  <c r="B78" i="32"/>
  <c r="C79" i="32"/>
  <c r="D80" i="32"/>
  <c r="E81" i="32"/>
  <c r="F82" i="32"/>
  <c r="G83" i="32"/>
  <c r="G84" i="32"/>
  <c r="H85" i="32"/>
  <c r="B87" i="32"/>
  <c r="C88" i="32"/>
  <c r="D89" i="32"/>
  <c r="E90" i="32"/>
  <c r="F91" i="32"/>
  <c r="G92" i="32"/>
  <c r="H93" i="32"/>
  <c r="B95" i="32"/>
  <c r="B96" i="32"/>
  <c r="C97" i="32"/>
  <c r="D98" i="32"/>
  <c r="E99" i="32"/>
  <c r="F100" i="32"/>
  <c r="G101" i="32"/>
  <c r="H102" i="32"/>
  <c r="C104" i="32"/>
  <c r="E106" i="32"/>
  <c r="F108" i="32"/>
  <c r="H110" i="32"/>
  <c r="C113" i="32"/>
  <c r="E115" i="32"/>
  <c r="G117" i="32"/>
  <c r="C122" i="32"/>
  <c r="E124" i="32"/>
  <c r="G126" i="32"/>
  <c r="B129" i="32"/>
  <c r="D131" i="32"/>
  <c r="D134" i="32"/>
  <c r="B14" i="32"/>
  <c r="F14" i="32"/>
  <c r="C15" i="32"/>
  <c r="G15" i="32"/>
  <c r="D16" i="32"/>
  <c r="H16" i="32"/>
  <c r="E17" i="32"/>
  <c r="B18" i="32"/>
  <c r="F18" i="32"/>
  <c r="C19" i="32"/>
  <c r="G19" i="32"/>
  <c r="D20" i="32"/>
  <c r="H20" i="32"/>
  <c r="E21" i="32"/>
  <c r="B22" i="32"/>
  <c r="F22" i="32"/>
  <c r="C23" i="32"/>
  <c r="H23" i="32"/>
  <c r="E24" i="32"/>
  <c r="D25" i="32"/>
  <c r="B26" i="32"/>
  <c r="G26" i="32"/>
  <c r="F27" i="32"/>
  <c r="D28" i="32"/>
  <c r="B29" i="32"/>
  <c r="H29" i="32"/>
  <c r="F30" i="32"/>
  <c r="D31" i="32"/>
  <c r="C32" i="32"/>
  <c r="H32" i="32"/>
  <c r="F33" i="32"/>
  <c r="E34" i="32"/>
  <c r="C35" i="32"/>
  <c r="H35" i="32"/>
  <c r="F36" i="32"/>
  <c r="D37" i="32"/>
  <c r="B38" i="32"/>
  <c r="H38" i="32"/>
  <c r="G39" i="32"/>
  <c r="H40" i="32"/>
  <c r="B42" i="32"/>
  <c r="C43" i="32"/>
  <c r="D44" i="32"/>
  <c r="E45" i="32"/>
  <c r="F46" i="32"/>
  <c r="G47" i="32"/>
  <c r="G48" i="32"/>
  <c r="H49" i="32"/>
  <c r="B51" i="32"/>
  <c r="C52" i="32"/>
  <c r="D53" i="32"/>
  <c r="E54" i="32"/>
  <c r="F55" i="32"/>
  <c r="G56" i="32"/>
  <c r="H57" i="32"/>
  <c r="B59" i="32"/>
  <c r="B60" i="32"/>
  <c r="C61" i="32"/>
  <c r="D62" i="32"/>
  <c r="E63" i="32"/>
  <c r="F64" i="32"/>
  <c r="G65" i="32"/>
  <c r="H66" i="32"/>
  <c r="B68" i="32"/>
  <c r="C69" i="32"/>
  <c r="D70" i="32"/>
  <c r="E71" i="32"/>
  <c r="E72" i="32"/>
  <c r="F73" i="32"/>
  <c r="G74" i="32"/>
  <c r="H75" i="32"/>
  <c r="B77" i="32"/>
  <c r="C78" i="32"/>
  <c r="D79" i="32"/>
  <c r="E80" i="32"/>
  <c r="F81" i="32"/>
  <c r="G82" i="32"/>
  <c r="H83" i="32"/>
  <c r="H84" i="32"/>
  <c r="B86" i="32"/>
  <c r="C87" i="32"/>
  <c r="D88" i="32"/>
  <c r="E89" i="32"/>
  <c r="F90" i="32"/>
  <c r="G91" i="32"/>
  <c r="H92" i="32"/>
  <c r="B94" i="32"/>
  <c r="C95" i="32"/>
  <c r="C96" i="32"/>
  <c r="D97" i="32"/>
  <c r="E98" i="32"/>
  <c r="F99" i="32"/>
  <c r="G100" i="32"/>
  <c r="H101" i="32"/>
  <c r="B103" i="32"/>
  <c r="G104" i="32"/>
  <c r="B107" i="32"/>
  <c r="C109" i="32"/>
  <c r="E111" i="32"/>
  <c r="G113" i="32"/>
  <c r="B116" i="32"/>
  <c r="D118" i="32"/>
  <c r="E120" i="32"/>
  <c r="G122" i="32"/>
  <c r="B125" i="32"/>
  <c r="D127" i="32"/>
  <c r="F129" i="32"/>
  <c r="B132" i="32"/>
  <c r="H372" i="32"/>
  <c r="G372" i="32"/>
  <c r="C372" i="32"/>
  <c r="F371" i="32"/>
  <c r="B371" i="32"/>
  <c r="E370" i="32"/>
  <c r="H369" i="32"/>
  <c r="D369" i="32"/>
  <c r="G368" i="32"/>
  <c r="C368" i="32"/>
  <c r="F367" i="32"/>
  <c r="B367" i="32"/>
  <c r="E366" i="32"/>
  <c r="H365" i="32"/>
  <c r="D365" i="32"/>
  <c r="G364" i="32"/>
  <c r="C364" i="32"/>
  <c r="F363" i="32"/>
  <c r="B363" i="32"/>
  <c r="E362" i="32"/>
  <c r="H361" i="32"/>
  <c r="D361" i="32"/>
  <c r="G360" i="32"/>
  <c r="C360" i="32"/>
  <c r="F359" i="32"/>
  <c r="B359" i="32"/>
  <c r="E358" i="32"/>
  <c r="H357" i="32"/>
  <c r="D357" i="32"/>
  <c r="G356" i="32"/>
  <c r="C356" i="32"/>
  <c r="F355" i="32"/>
  <c r="B355" i="32"/>
  <c r="E354" i="32"/>
  <c r="H353" i="32"/>
  <c r="D353" i="32"/>
  <c r="G352" i="32"/>
  <c r="C352" i="32"/>
  <c r="F351" i="32"/>
  <c r="B351" i="32"/>
  <c r="E350" i="32"/>
  <c r="H349" i="32"/>
  <c r="D349" i="32"/>
  <c r="G348" i="32"/>
  <c r="C348" i="32"/>
  <c r="F347" i="32"/>
  <c r="B347" i="32"/>
  <c r="E346" i="32"/>
  <c r="H345" i="32"/>
  <c r="D345" i="32"/>
  <c r="G344" i="32"/>
  <c r="C344" i="32"/>
  <c r="F343" i="32"/>
  <c r="B343" i="32"/>
  <c r="E342" i="32"/>
  <c r="H341" i="32"/>
  <c r="D341" i="32"/>
  <c r="G340" i="32"/>
  <c r="C340" i="32"/>
  <c r="F339" i="32"/>
  <c r="B339" i="32"/>
  <c r="E338" i="32"/>
  <c r="H337" i="32"/>
  <c r="D337" i="32"/>
  <c r="G336" i="32"/>
  <c r="C336" i="32"/>
  <c r="F335" i="32"/>
  <c r="B335" i="32"/>
  <c r="E334" i="32"/>
  <c r="H333" i="32"/>
  <c r="D333" i="32"/>
  <c r="G332" i="32"/>
  <c r="C332" i="32"/>
  <c r="F331" i="32"/>
  <c r="B331" i="32"/>
  <c r="E330" i="32"/>
  <c r="H329" i="32"/>
  <c r="F372" i="32"/>
  <c r="B372" i="32"/>
  <c r="E371" i="32"/>
  <c r="H370" i="32"/>
  <c r="D370" i="32"/>
  <c r="G369" i="32"/>
  <c r="C369" i="32"/>
  <c r="F368" i="32"/>
  <c r="B368" i="32"/>
  <c r="E367" i="32"/>
  <c r="H366" i="32"/>
  <c r="D366" i="32"/>
  <c r="G365" i="32"/>
  <c r="C365" i="32"/>
  <c r="F364" i="32"/>
  <c r="B364" i="32"/>
  <c r="E363" i="32"/>
  <c r="H362" i="32"/>
  <c r="D362" i="32"/>
  <c r="G361" i="32"/>
  <c r="C361" i="32"/>
  <c r="F360" i="32"/>
  <c r="B360" i="32"/>
  <c r="E359" i="32"/>
  <c r="H358" i="32"/>
  <c r="D358" i="32"/>
  <c r="G357" i="32"/>
  <c r="C357" i="32"/>
  <c r="F356" i="32"/>
  <c r="B356" i="32"/>
  <c r="E355" i="32"/>
  <c r="H354" i="32"/>
  <c r="D354" i="32"/>
  <c r="G353" i="32"/>
  <c r="C353" i="32"/>
  <c r="F352" i="32"/>
  <c r="B352" i="32"/>
  <c r="E351" i="32"/>
  <c r="H350" i="32"/>
  <c r="D350" i="32"/>
  <c r="G349" i="32"/>
  <c r="C349" i="32"/>
  <c r="F348" i="32"/>
  <c r="B348" i="32"/>
  <c r="E347" i="32"/>
  <c r="H346" i="32"/>
  <c r="D346" i="32"/>
  <c r="G345" i="32"/>
  <c r="C345" i="32"/>
  <c r="F344" i="32"/>
  <c r="B344" i="32"/>
  <c r="E343" i="32"/>
  <c r="H342" i="32"/>
  <c r="D342" i="32"/>
  <c r="G341" i="32"/>
  <c r="C341" i="32"/>
  <c r="F340" i="32"/>
  <c r="B340" i="32"/>
  <c r="E339" i="32"/>
  <c r="H338" i="32"/>
  <c r="D338" i="32"/>
  <c r="G337" i="32"/>
  <c r="C337" i="32"/>
  <c r="F336" i="32"/>
  <c r="B336" i="32"/>
  <c r="E335" i="32"/>
  <c r="H334" i="32"/>
  <c r="D334" i="32"/>
  <c r="G333" i="32"/>
  <c r="C333" i="32"/>
  <c r="F332" i="32"/>
  <c r="B332" i="32"/>
  <c r="E331" i="32"/>
  <c r="H330" i="32"/>
  <c r="D330" i="32"/>
  <c r="G329" i="32"/>
  <c r="C329" i="32"/>
  <c r="F328" i="32"/>
  <c r="B328" i="32"/>
  <c r="E327" i="32"/>
  <c r="H326" i="32"/>
  <c r="D326" i="32"/>
  <c r="G325" i="32"/>
  <c r="C325" i="32"/>
  <c r="E372" i="32"/>
  <c r="H371" i="32"/>
  <c r="D371" i="32"/>
  <c r="G370" i="32"/>
  <c r="C370" i="32"/>
  <c r="F369" i="32"/>
  <c r="B369" i="32"/>
  <c r="E368" i="32"/>
  <c r="H367" i="32"/>
  <c r="D367" i="32"/>
  <c r="G366" i="32"/>
  <c r="C366" i="32"/>
  <c r="F365" i="32"/>
  <c r="B365" i="32"/>
  <c r="E364" i="32"/>
  <c r="H363" i="32"/>
  <c r="D363" i="32"/>
  <c r="G362" i="32"/>
  <c r="C362" i="32"/>
  <c r="F361" i="32"/>
  <c r="B361" i="32"/>
  <c r="E360" i="32"/>
  <c r="H359" i="32"/>
  <c r="D359" i="32"/>
  <c r="G358" i="32"/>
  <c r="C358" i="32"/>
  <c r="F357" i="32"/>
  <c r="B357" i="32"/>
  <c r="E356" i="32"/>
  <c r="H355" i="32"/>
  <c r="D355" i="32"/>
  <c r="G354" i="32"/>
  <c r="C354" i="32"/>
  <c r="F353" i="32"/>
  <c r="B353" i="32"/>
  <c r="E352" i="32"/>
  <c r="H351" i="32"/>
  <c r="D351" i="32"/>
  <c r="G350" i="32"/>
  <c r="C350" i="32"/>
  <c r="F349" i="32"/>
  <c r="B349" i="32"/>
  <c r="E348" i="32"/>
  <c r="H347" i="32"/>
  <c r="D347" i="32"/>
  <c r="G346" i="32"/>
  <c r="C346" i="32"/>
  <c r="F345" i="32"/>
  <c r="B345" i="32"/>
  <c r="E344" i="32"/>
  <c r="H343" i="32"/>
  <c r="D343" i="32"/>
  <c r="G342" i="32"/>
  <c r="C342" i="32"/>
  <c r="F341" i="32"/>
  <c r="B341" i="32"/>
  <c r="E340" i="32"/>
  <c r="H339" i="32"/>
  <c r="D339" i="32"/>
  <c r="G338" i="32"/>
  <c r="C338" i="32"/>
  <c r="F337" i="32"/>
  <c r="B337" i="32"/>
  <c r="E336" i="32"/>
  <c r="H335" i="32"/>
  <c r="D335" i="32"/>
  <c r="G334" i="32"/>
  <c r="C334" i="32"/>
  <c r="F333" i="32"/>
  <c r="B333" i="32"/>
  <c r="E332" i="32"/>
  <c r="H331" i="32"/>
  <c r="D331" i="32"/>
  <c r="G330" i="32"/>
  <c r="C330" i="32"/>
  <c r="F329" i="32"/>
  <c r="B329" i="32"/>
  <c r="E328" i="32"/>
  <c r="H327" i="32"/>
  <c r="D327" i="32"/>
  <c r="G326" i="32"/>
  <c r="C326" i="32"/>
  <c r="F325" i="32"/>
  <c r="B325" i="32"/>
  <c r="E324" i="32"/>
  <c r="D372" i="32"/>
  <c r="B370" i="32"/>
  <c r="G367" i="32"/>
  <c r="E365" i="32"/>
  <c r="C363" i="32"/>
  <c r="H360" i="32"/>
  <c r="F358" i="32"/>
  <c r="D356" i="32"/>
  <c r="B354" i="32"/>
  <c r="G351" i="32"/>
  <c r="E349" i="32"/>
  <c r="C347" i="32"/>
  <c r="H344" i="32"/>
  <c r="F342" i="32"/>
  <c r="D340" i="32"/>
  <c r="B338" i="32"/>
  <c r="G335" i="32"/>
  <c r="E333" i="32"/>
  <c r="C331" i="32"/>
  <c r="D329" i="32"/>
  <c r="C328" i="32"/>
  <c r="B327" i="32"/>
  <c r="H325" i="32"/>
  <c r="G324" i="32"/>
  <c r="B324" i="32"/>
  <c r="E323" i="32"/>
  <c r="H322" i="32"/>
  <c r="D322" i="32"/>
  <c r="G321" i="32"/>
  <c r="C321" i="32"/>
  <c r="F320" i="32"/>
  <c r="B320" i="32"/>
  <c r="E319" i="32"/>
  <c r="H318" i="32"/>
  <c r="D318" i="32"/>
  <c r="G317" i="32"/>
  <c r="C317" i="32"/>
  <c r="F316" i="32"/>
  <c r="B316" i="32"/>
  <c r="E315" i="32"/>
  <c r="H314" i="32"/>
  <c r="D314" i="32"/>
  <c r="G313" i="32"/>
  <c r="C313" i="32"/>
  <c r="F312" i="32"/>
  <c r="B312" i="32"/>
  <c r="E311" i="32"/>
  <c r="H310" i="32"/>
  <c r="D310" i="32"/>
  <c r="G309" i="32"/>
  <c r="C309" i="32"/>
  <c r="F308" i="32"/>
  <c r="B308" i="32"/>
  <c r="E307" i="32"/>
  <c r="H306" i="32"/>
  <c r="D306" i="32"/>
  <c r="G305" i="32"/>
  <c r="C305" i="32"/>
  <c r="F304" i="32"/>
  <c r="B304" i="32"/>
  <c r="E303" i="32"/>
  <c r="H302" i="32"/>
  <c r="D302" i="32"/>
  <c r="G301" i="32"/>
  <c r="C301" i="32"/>
  <c r="F300" i="32"/>
  <c r="B300" i="32"/>
  <c r="E299" i="32"/>
  <c r="H298" i="32"/>
  <c r="D298" i="32"/>
  <c r="G297" i="32"/>
  <c r="C297" i="32"/>
  <c r="F296" i="32"/>
  <c r="B296" i="32"/>
  <c r="E295" i="32"/>
  <c r="H294" i="32"/>
  <c r="G371" i="32"/>
  <c r="E369" i="32"/>
  <c r="C367" i="32"/>
  <c r="H364" i="32"/>
  <c r="F362" i="32"/>
  <c r="D360" i="32"/>
  <c r="B358" i="32"/>
  <c r="G355" i="32"/>
  <c r="E353" i="32"/>
  <c r="C351" i="32"/>
  <c r="H348" i="32"/>
  <c r="F346" i="32"/>
  <c r="D344" i="32"/>
  <c r="B342" i="32"/>
  <c r="G339" i="32"/>
  <c r="E337" i="32"/>
  <c r="C335" i="32"/>
  <c r="H332" i="32"/>
  <c r="F330" i="32"/>
  <c r="H328" i="32"/>
  <c r="G327" i="32"/>
  <c r="F326" i="32"/>
  <c r="E325" i="32"/>
  <c r="F324" i="32"/>
  <c r="H323" i="32"/>
  <c r="D323" i="32"/>
  <c r="G322" i="32"/>
  <c r="C322" i="32"/>
  <c r="F321" i="32"/>
  <c r="B321" i="32"/>
  <c r="E320" i="32"/>
  <c r="H319" i="32"/>
  <c r="D319" i="32"/>
  <c r="G318" i="32"/>
  <c r="C318" i="32"/>
  <c r="F317" i="32"/>
  <c r="B317" i="32"/>
  <c r="E316" i="32"/>
  <c r="H315" i="32"/>
  <c r="D315" i="32"/>
  <c r="G314" i="32"/>
  <c r="C314" i="32"/>
  <c r="F313" i="32"/>
  <c r="B313" i="32"/>
  <c r="E312" i="32"/>
  <c r="H311" i="32"/>
  <c r="D311" i="32"/>
  <c r="G310" i="32"/>
  <c r="C310" i="32"/>
  <c r="F309" i="32"/>
  <c r="B309" i="32"/>
  <c r="E308" i="32"/>
  <c r="H307" i="32"/>
  <c r="D307" i="32"/>
  <c r="G306" i="32"/>
  <c r="C306" i="32"/>
  <c r="F305" i="32"/>
  <c r="B305" i="32"/>
  <c r="E304" i="32"/>
  <c r="H303" i="32"/>
  <c r="D303" i="32"/>
  <c r="G302" i="32"/>
  <c r="C302" i="32"/>
  <c r="F301" i="32"/>
  <c r="B301" i="32"/>
  <c r="E300" i="32"/>
  <c r="H299" i="32"/>
  <c r="D299" i="32"/>
  <c r="G298" i="32"/>
  <c r="C298" i="32"/>
  <c r="F297" i="32"/>
  <c r="B297" i="32"/>
  <c r="E296" i="32"/>
  <c r="H295" i="32"/>
  <c r="D295" i="32"/>
  <c r="G294" i="32"/>
  <c r="C294" i="32"/>
  <c r="F293" i="32"/>
  <c r="B293" i="32"/>
  <c r="E292" i="32"/>
  <c r="H291" i="32"/>
  <c r="D291" i="32"/>
  <c r="G290" i="32"/>
  <c r="C290" i="32"/>
  <c r="F289" i="32"/>
  <c r="C371" i="32"/>
  <c r="F366" i="32"/>
  <c r="B362" i="32"/>
  <c r="E357" i="32"/>
  <c r="H352" i="32"/>
  <c r="D348" i="32"/>
  <c r="G343" i="32"/>
  <c r="C339" i="32"/>
  <c r="F334" i="32"/>
  <c r="B330" i="32"/>
  <c r="F327" i="32"/>
  <c r="D325" i="32"/>
  <c r="G323" i="32"/>
  <c r="F322" i="32"/>
  <c r="E321" i="32"/>
  <c r="D320" i="32"/>
  <c r="C319" i="32"/>
  <c r="B318" i="32"/>
  <c r="H316" i="32"/>
  <c r="G315" i="32"/>
  <c r="F314" i="32"/>
  <c r="E313" i="32"/>
  <c r="D312" i="32"/>
  <c r="C311" i="32"/>
  <c r="B310" i="32"/>
  <c r="H308" i="32"/>
  <c r="G307" i="32"/>
  <c r="F306" i="32"/>
  <c r="E305" i="32"/>
  <c r="D304" i="32"/>
  <c r="C303" i="32"/>
  <c r="B302" i="32"/>
  <c r="H300" i="32"/>
  <c r="G299" i="32"/>
  <c r="F298" i="32"/>
  <c r="E297" i="32"/>
  <c r="D296" i="32"/>
  <c r="C295" i="32"/>
  <c r="D294" i="32"/>
  <c r="E293" i="32"/>
  <c r="G292" i="32"/>
  <c r="B292" i="32"/>
  <c r="C291" i="32"/>
  <c r="E290" i="32"/>
  <c r="G289" i="32"/>
  <c r="B289" i="32"/>
  <c r="E288" i="32"/>
  <c r="H287" i="32"/>
  <c r="D287" i="32"/>
  <c r="G286" i="32"/>
  <c r="C286" i="32"/>
  <c r="F285" i="32"/>
  <c r="B285" i="32"/>
  <c r="E284" i="32"/>
  <c r="H283" i="32"/>
  <c r="D283" i="32"/>
  <c r="G282" i="32"/>
  <c r="C282" i="32"/>
  <c r="F281" i="32"/>
  <c r="B281" i="32"/>
  <c r="E280" i="32"/>
  <c r="H279" i="32"/>
  <c r="D279" i="32"/>
  <c r="G278" i="32"/>
  <c r="C278" i="32"/>
  <c r="F277" i="32"/>
  <c r="B277" i="32"/>
  <c r="E276" i="32"/>
  <c r="H275" i="32"/>
  <c r="D275" i="32"/>
  <c r="G274" i="32"/>
  <c r="C274" i="32"/>
  <c r="F273" i="32"/>
  <c r="B273" i="32"/>
  <c r="E272" i="32"/>
  <c r="H271" i="32"/>
  <c r="D271" i="32"/>
  <c r="G270" i="32"/>
  <c r="C270" i="32"/>
  <c r="F269" i="32"/>
  <c r="B269" i="32"/>
  <c r="E268" i="32"/>
  <c r="H267" i="32"/>
  <c r="D267" i="32"/>
  <c r="G266" i="32"/>
  <c r="F370" i="32"/>
  <c r="B366" i="32"/>
  <c r="E361" i="32"/>
  <c r="H356" i="32"/>
  <c r="D352" i="32"/>
  <c r="G347" i="32"/>
  <c r="C343" i="32"/>
  <c r="F338" i="32"/>
  <c r="B334" i="32"/>
  <c r="E329" i="32"/>
  <c r="C327" i="32"/>
  <c r="H324" i="32"/>
  <c r="F323" i="32"/>
  <c r="E322" i="32"/>
  <c r="D321" i="32"/>
  <c r="C320" i="32"/>
  <c r="B319" i="32"/>
  <c r="H317" i="32"/>
  <c r="G316" i="32"/>
  <c r="F315" i="32"/>
  <c r="E314" i="32"/>
  <c r="D313" i="32"/>
  <c r="C312" i="32"/>
  <c r="B311" i="32"/>
  <c r="H309" i="32"/>
  <c r="G308" i="32"/>
  <c r="F307" i="32"/>
  <c r="E306" i="32"/>
  <c r="D305" i="32"/>
  <c r="C304" i="32"/>
  <c r="B303" i="32"/>
  <c r="H301" i="32"/>
  <c r="G300" i="32"/>
  <c r="F299" i="32"/>
  <c r="E298" i="32"/>
  <c r="D297" i="32"/>
  <c r="C296" i="32"/>
  <c r="B295" i="32"/>
  <c r="B294" i="32"/>
  <c r="D293" i="32"/>
  <c r="F292" i="32"/>
  <c r="G291" i="32"/>
  <c r="B291" i="32"/>
  <c r="D290" i="32"/>
  <c r="E289" i="32"/>
  <c r="H288" i="32"/>
  <c r="D288" i="32"/>
  <c r="G287" i="32"/>
  <c r="C287" i="32"/>
  <c r="F286" i="32"/>
  <c r="B286" i="32"/>
  <c r="E285" i="32"/>
  <c r="H284" i="32"/>
  <c r="D284" i="32"/>
  <c r="G283" i="32"/>
  <c r="C283" i="32"/>
  <c r="F282" i="32"/>
  <c r="B282" i="32"/>
  <c r="E281" i="32"/>
  <c r="H280" i="32"/>
  <c r="D280" i="32"/>
  <c r="G279" i="32"/>
  <c r="C279" i="32"/>
  <c r="F278" i="32"/>
  <c r="B278" i="32"/>
  <c r="E277" i="32"/>
  <c r="H276" i="32"/>
  <c r="D276" i="32"/>
  <c r="G275" i="32"/>
  <c r="C275" i="32"/>
  <c r="F274" i="32"/>
  <c r="B274" i="32"/>
  <c r="E273" i="32"/>
  <c r="H272" i="32"/>
  <c r="D272" i="32"/>
  <c r="G271" i="32"/>
  <c r="C271" i="32"/>
  <c r="F270" i="32"/>
  <c r="B270" i="32"/>
  <c r="E269" i="32"/>
  <c r="H268" i="32"/>
  <c r="D268" i="32"/>
  <c r="G267" i="32"/>
  <c r="C267" i="32"/>
  <c r="F266" i="32"/>
  <c r="B266" i="32"/>
  <c r="E265" i="32"/>
  <c r="H264" i="32"/>
  <c r="D264" i="32"/>
  <c r="G263" i="32"/>
  <c r="C263" i="32"/>
  <c r="F262" i="32"/>
  <c r="H368" i="32"/>
  <c r="G359" i="32"/>
  <c r="F350" i="32"/>
  <c r="E341" i="32"/>
  <c r="D332" i="32"/>
  <c r="E326" i="32"/>
  <c r="C323" i="32"/>
  <c r="H320" i="32"/>
  <c r="F318" i="32"/>
  <c r="D316" i="32"/>
  <c r="B314" i="32"/>
  <c r="G311" i="32"/>
  <c r="E309" i="32"/>
  <c r="C307" i="32"/>
  <c r="H304" i="32"/>
  <c r="F302" i="32"/>
  <c r="D300" i="32"/>
  <c r="B298" i="32"/>
  <c r="G295" i="32"/>
  <c r="H293" i="32"/>
  <c r="D292" i="32"/>
  <c r="H290" i="32"/>
  <c r="D289" i="32"/>
  <c r="C288" i="32"/>
  <c r="B287" i="32"/>
  <c r="H285" i="32"/>
  <c r="G284" i="32"/>
  <c r="F283" i="32"/>
  <c r="E282" i="32"/>
  <c r="D281" i="32"/>
  <c r="C280" i="32"/>
  <c r="B279" i="32"/>
  <c r="H277" i="32"/>
  <c r="G276" i="32"/>
  <c r="F275" i="32"/>
  <c r="E274" i="32"/>
  <c r="D273" i="32"/>
  <c r="C272" i="32"/>
  <c r="B271" i="32"/>
  <c r="H269" i="32"/>
  <c r="G268" i="32"/>
  <c r="F267" i="32"/>
  <c r="E266" i="32"/>
  <c r="G265" i="32"/>
  <c r="B265" i="32"/>
  <c r="C264" i="32"/>
  <c r="E263" i="32"/>
  <c r="G262" i="32"/>
  <c r="B262" i="32"/>
  <c r="E261" i="32"/>
  <c r="H260" i="32"/>
  <c r="D260" i="32"/>
  <c r="G259" i="32"/>
  <c r="C259" i="32"/>
  <c r="F258" i="32"/>
  <c r="B258" i="32"/>
  <c r="E257" i="32"/>
  <c r="H256" i="32"/>
  <c r="D256" i="32"/>
  <c r="G255" i="32"/>
  <c r="C255" i="32"/>
  <c r="F254" i="32"/>
  <c r="B254" i="32"/>
  <c r="E253" i="32"/>
  <c r="H252" i="32"/>
  <c r="D252" i="32"/>
  <c r="G251" i="32"/>
  <c r="C251" i="32"/>
  <c r="F250" i="32"/>
  <c r="B250" i="32"/>
  <c r="E249" i="32"/>
  <c r="H248" i="32"/>
  <c r="D248" i="32"/>
  <c r="G247" i="32"/>
  <c r="C247" i="32"/>
  <c r="F246" i="32"/>
  <c r="B246" i="32"/>
  <c r="E245" i="32"/>
  <c r="H244" i="32"/>
  <c r="D244" i="32"/>
  <c r="G243" i="32"/>
  <c r="C243" i="32"/>
  <c r="F242" i="32"/>
  <c r="B242" i="32"/>
  <c r="E241" i="32"/>
  <c r="H240" i="32"/>
  <c r="D240" i="32"/>
  <c r="G239" i="32"/>
  <c r="C239" i="32"/>
  <c r="F238" i="32"/>
  <c r="B238" i="32"/>
  <c r="E237" i="32"/>
  <c r="H236" i="32"/>
  <c r="D236" i="32"/>
  <c r="G235" i="32"/>
  <c r="C235" i="32"/>
  <c r="F234" i="32"/>
  <c r="B234" i="32"/>
  <c r="E233" i="32"/>
  <c r="H232" i="32"/>
  <c r="D232" i="32"/>
  <c r="G231" i="32"/>
  <c r="C231" i="32"/>
  <c r="F230" i="32"/>
  <c r="B230" i="32"/>
  <c r="E229" i="32"/>
  <c r="H228" i="32"/>
  <c r="D228" i="32"/>
  <c r="G227" i="32"/>
  <c r="C227" i="32"/>
  <c r="F226" i="32"/>
  <c r="B226" i="32"/>
  <c r="E225" i="32"/>
  <c r="H224" i="32"/>
  <c r="D224" i="32"/>
  <c r="G223" i="32"/>
  <c r="C223" i="32"/>
  <c r="F222" i="32"/>
  <c r="B222" i="32"/>
  <c r="E221" i="32"/>
  <c r="H220" i="32"/>
  <c r="D220" i="32"/>
  <c r="G219" i="32"/>
  <c r="C219" i="32"/>
  <c r="F218" i="32"/>
  <c r="B218" i="32"/>
  <c r="E217" i="32"/>
  <c r="H216" i="32"/>
  <c r="D216" i="32"/>
  <c r="G215" i="32"/>
  <c r="C215" i="32"/>
  <c r="F214" i="32"/>
  <c r="B214" i="32"/>
  <c r="E213" i="32"/>
  <c r="H212" i="32"/>
  <c r="D212" i="32"/>
  <c r="G211" i="32"/>
  <c r="C211" i="32"/>
  <c r="F210" i="32"/>
  <c r="B210" i="32"/>
  <c r="E209" i="32"/>
  <c r="H208" i="32"/>
  <c r="D208" i="32"/>
  <c r="G207" i="32"/>
  <c r="C207" i="32"/>
  <c r="F206" i="32"/>
  <c r="B206" i="32"/>
  <c r="E205" i="32"/>
  <c r="H204" i="32"/>
  <c r="D368" i="32"/>
  <c r="C359" i="32"/>
  <c r="B350" i="32"/>
  <c r="H340" i="32"/>
  <c r="G331" i="32"/>
  <c r="B326" i="32"/>
  <c r="B323" i="32"/>
  <c r="G320" i="32"/>
  <c r="E318" i="32"/>
  <c r="C316" i="32"/>
  <c r="H313" i="32"/>
  <c r="F311" i="32"/>
  <c r="D309" i="32"/>
  <c r="B307" i="32"/>
  <c r="G304" i="32"/>
  <c r="E302" i="32"/>
  <c r="C300" i="32"/>
  <c r="H297" i="32"/>
  <c r="F295" i="32"/>
  <c r="G293" i="32"/>
  <c r="C292" i="32"/>
  <c r="F290" i="32"/>
  <c r="C289" i="32"/>
  <c r="B288" i="32"/>
  <c r="H286" i="32"/>
  <c r="G285" i="32"/>
  <c r="F284" i="32"/>
  <c r="E283" i="32"/>
  <c r="D282" i="32"/>
  <c r="C281" i="32"/>
  <c r="B280" i="32"/>
  <c r="H278" i="32"/>
  <c r="G277" i="32"/>
  <c r="F276" i="32"/>
  <c r="E275" i="32"/>
  <c r="D274" i="32"/>
  <c r="C273" i="32"/>
  <c r="B272" i="32"/>
  <c r="H270" i="32"/>
  <c r="G269" i="32"/>
  <c r="F268" i="32"/>
  <c r="E267" i="32"/>
  <c r="D266" i="32"/>
  <c r="F265" i="32"/>
  <c r="G264" i="32"/>
  <c r="B264" i="32"/>
  <c r="D263" i="32"/>
  <c r="E262" i="32"/>
  <c r="H261" i="32"/>
  <c r="D261" i="32"/>
  <c r="G260" i="32"/>
  <c r="C260" i="32"/>
  <c r="F259" i="32"/>
  <c r="B259" i="32"/>
  <c r="E258" i="32"/>
  <c r="H257" i="32"/>
  <c r="D257" i="32"/>
  <c r="G256" i="32"/>
  <c r="C256" i="32"/>
  <c r="F255" i="32"/>
  <c r="B255" i="32"/>
  <c r="E254" i="32"/>
  <c r="H253" i="32"/>
  <c r="D253" i="32"/>
  <c r="G252" i="32"/>
  <c r="C252" i="32"/>
  <c r="F251" i="32"/>
  <c r="B251" i="32"/>
  <c r="E250" i="32"/>
  <c r="H249" i="32"/>
  <c r="D249" i="32"/>
  <c r="G248" i="32"/>
  <c r="C248" i="32"/>
  <c r="F247" i="32"/>
  <c r="B247" i="32"/>
  <c r="E246" i="32"/>
  <c r="H245" i="32"/>
  <c r="D245" i="32"/>
  <c r="G244" i="32"/>
  <c r="C244" i="32"/>
  <c r="F243" i="32"/>
  <c r="B243" i="32"/>
  <c r="E242" i="32"/>
  <c r="H241" i="32"/>
  <c r="D241" i="32"/>
  <c r="G240" i="32"/>
  <c r="C240" i="32"/>
  <c r="F239" i="32"/>
  <c r="B239" i="32"/>
  <c r="E238" i="32"/>
  <c r="H237" i="32"/>
  <c r="D237" i="32"/>
  <c r="G236" i="32"/>
  <c r="C236" i="32"/>
  <c r="F235" i="32"/>
  <c r="B235" i="32"/>
  <c r="E234" i="32"/>
  <c r="H233" i="32"/>
  <c r="D233" i="32"/>
  <c r="G232" i="32"/>
  <c r="C232" i="32"/>
  <c r="F231" i="32"/>
  <c r="B231" i="32"/>
  <c r="E230" i="32"/>
  <c r="H229" i="32"/>
  <c r="D229" i="32"/>
  <c r="G228" i="32"/>
  <c r="C228" i="32"/>
  <c r="F227" i="32"/>
  <c r="B227" i="32"/>
  <c r="E226" i="32"/>
  <c r="H225" i="32"/>
  <c r="D225" i="32"/>
  <c r="G224" i="32"/>
  <c r="C224" i="32"/>
  <c r="F223" i="32"/>
  <c r="B223" i="32"/>
  <c r="E222" i="32"/>
  <c r="H221" i="32"/>
  <c r="D221" i="32"/>
  <c r="G220" i="32"/>
  <c r="C220" i="32"/>
  <c r="F219" i="32"/>
  <c r="B219" i="32"/>
  <c r="E218" i="32"/>
  <c r="H217" i="32"/>
  <c r="D217" i="32"/>
  <c r="G216" i="32"/>
  <c r="C216" i="32"/>
  <c r="F215" i="32"/>
  <c r="B215" i="32"/>
  <c r="E214" i="32"/>
  <c r="H213" i="32"/>
  <c r="D213" i="32"/>
  <c r="G212" i="32"/>
  <c r="C212" i="32"/>
  <c r="F211" i="32"/>
  <c r="B211" i="32"/>
  <c r="E210" i="32"/>
  <c r="H209" i="32"/>
  <c r="D209" i="32"/>
  <c r="G208" i="32"/>
  <c r="C208" i="32"/>
  <c r="F207" i="32"/>
  <c r="B207" i="32"/>
  <c r="E206" i="32"/>
  <c r="H205" i="32"/>
  <c r="D205" i="32"/>
  <c r="G204" i="32"/>
  <c r="C204" i="32"/>
  <c r="F203" i="32"/>
  <c r="B203" i="32"/>
  <c r="D364" i="32"/>
  <c r="C355" i="32"/>
  <c r="B346" i="32"/>
  <c r="H336" i="32"/>
  <c r="G328" i="32"/>
  <c r="D324" i="32"/>
  <c r="B322" i="32"/>
  <c r="G319" i="32"/>
  <c r="E317" i="32"/>
  <c r="C315" i="32"/>
  <c r="H312" i="32"/>
  <c r="F310" i="32"/>
  <c r="D308" i="32"/>
  <c r="B306" i="32"/>
  <c r="G303" i="32"/>
  <c r="E301" i="32"/>
  <c r="C299" i="32"/>
  <c r="H296" i="32"/>
  <c r="F294" i="32"/>
  <c r="C293" i="32"/>
  <c r="F291" i="32"/>
  <c r="B290" i="32"/>
  <c r="G288" i="32"/>
  <c r="F287" i="32"/>
  <c r="E286" i="32"/>
  <c r="D285" i="32"/>
  <c r="C284" i="32"/>
  <c r="B283" i="32"/>
  <c r="H281" i="32"/>
  <c r="G280" i="32"/>
  <c r="F279" i="32"/>
  <c r="E278" i="32"/>
  <c r="D277" i="32"/>
  <c r="C276" i="32"/>
  <c r="B275" i="32"/>
  <c r="H273" i="32"/>
  <c r="G272" i="32"/>
  <c r="F271" i="32"/>
  <c r="E270" i="32"/>
  <c r="D269" i="32"/>
  <c r="C268" i="32"/>
  <c r="B267" i="32"/>
  <c r="C266" i="32"/>
  <c r="D265" i="32"/>
  <c r="F264" i="32"/>
  <c r="H263" i="32"/>
  <c r="B263" i="32"/>
  <c r="D262" i="32"/>
  <c r="G261" i="32"/>
  <c r="C261" i="32"/>
  <c r="F260" i="32"/>
  <c r="B260" i="32"/>
  <c r="E259" i="32"/>
  <c r="H258" i="32"/>
  <c r="D258" i="32"/>
  <c r="G257" i="32"/>
  <c r="C257" i="32"/>
  <c r="F256" i="32"/>
  <c r="B256" i="32"/>
  <c r="E255" i="32"/>
  <c r="H254" i="32"/>
  <c r="D254" i="32"/>
  <c r="G253" i="32"/>
  <c r="C253" i="32"/>
  <c r="F252" i="32"/>
  <c r="B252" i="32"/>
  <c r="E251" i="32"/>
  <c r="H250" i="32"/>
  <c r="D250" i="32"/>
  <c r="G249" i="32"/>
  <c r="C249" i="32"/>
  <c r="F248" i="32"/>
  <c r="B248" i="32"/>
  <c r="E247" i="32"/>
  <c r="H246" i="32"/>
  <c r="D246" i="32"/>
  <c r="G245" i="32"/>
  <c r="C245" i="32"/>
  <c r="F244" i="32"/>
  <c r="B244" i="32"/>
  <c r="E243" i="32"/>
  <c r="H242" i="32"/>
  <c r="D242" i="32"/>
  <c r="G241" i="32"/>
  <c r="C241" i="32"/>
  <c r="G363" i="32"/>
  <c r="F354" i="32"/>
  <c r="E345" i="32"/>
  <c r="D336" i="32"/>
  <c r="D328" i="32"/>
  <c r="C324" i="32"/>
  <c r="H321" i="32"/>
  <c r="F319" i="32"/>
  <c r="D317" i="32"/>
  <c r="B315" i="32"/>
  <c r="G312" i="32"/>
  <c r="E310" i="32"/>
  <c r="C308" i="32"/>
  <c r="H305" i="32"/>
  <c r="F303" i="32"/>
  <c r="D301" i="32"/>
  <c r="B299" i="32"/>
  <c r="G296" i="32"/>
  <c r="E294" i="32"/>
  <c r="H292" i="32"/>
  <c r="E291" i="32"/>
  <c r="H289" i="32"/>
  <c r="F288" i="32"/>
  <c r="E287" i="32"/>
  <c r="D286" i="32"/>
  <c r="C285" i="32"/>
  <c r="B284" i="32"/>
  <c r="H282" i="32"/>
  <c r="G281" i="32"/>
  <c r="F280" i="32"/>
  <c r="E279" i="32"/>
  <c r="D278" i="32"/>
  <c r="C277" i="32"/>
  <c r="B276" i="32"/>
  <c r="H274" i="32"/>
  <c r="G273" i="32"/>
  <c r="F272" i="32"/>
  <c r="E271" i="32"/>
  <c r="D270" i="32"/>
  <c r="C269" i="32"/>
  <c r="B268" i="32"/>
  <c r="H266" i="32"/>
  <c r="H265" i="32"/>
  <c r="C265" i="32"/>
  <c r="E264" i="32"/>
  <c r="F263" i="32"/>
  <c r="H262" i="32"/>
  <c r="C262" i="32"/>
  <c r="H259" i="32"/>
  <c r="F257" i="32"/>
  <c r="D255" i="32"/>
  <c r="B253" i="32"/>
  <c r="G250" i="32"/>
  <c r="E248" i="32"/>
  <c r="C246" i="32"/>
  <c r="H243" i="32"/>
  <c r="F241" i="32"/>
  <c r="B240" i="32"/>
  <c r="H238" i="32"/>
  <c r="G237" i="32"/>
  <c r="F236" i="32"/>
  <c r="E235" i="32"/>
  <c r="D234" i="32"/>
  <c r="C233" i="32"/>
  <c r="B232" i="32"/>
  <c r="H230" i="32"/>
  <c r="G229" i="32"/>
  <c r="F228" i="32"/>
  <c r="E227" i="32"/>
  <c r="D226" i="32"/>
  <c r="C225" i="32"/>
  <c r="B224" i="32"/>
  <c r="H222" i="32"/>
  <c r="G221" i="32"/>
  <c r="F220" i="32"/>
  <c r="E219" i="32"/>
  <c r="D218" i="32"/>
  <c r="C217" i="32"/>
  <c r="B216" i="32"/>
  <c r="H214" i="32"/>
  <c r="G213" i="32"/>
  <c r="F212" i="32"/>
  <c r="E211" i="32"/>
  <c r="D210" i="32"/>
  <c r="C209" i="32"/>
  <c r="B208" i="32"/>
  <c r="H206" i="32"/>
  <c r="G205" i="32"/>
  <c r="F204" i="32"/>
  <c r="H203" i="32"/>
  <c r="C203" i="32"/>
  <c r="E202" i="32"/>
  <c r="H201" i="32"/>
  <c r="D201" i="32"/>
  <c r="G200" i="32"/>
  <c r="C200" i="32"/>
  <c r="F199" i="32"/>
  <c r="B199" i="32"/>
  <c r="E198" i="32"/>
  <c r="H197" i="32"/>
  <c r="D197" i="32"/>
  <c r="G196" i="32"/>
  <c r="C196" i="32"/>
  <c r="F195" i="32"/>
  <c r="B195" i="32"/>
  <c r="E194" i="32"/>
  <c r="H193" i="32"/>
  <c r="D193" i="32"/>
  <c r="G192" i="32"/>
  <c r="C192" i="32"/>
  <c r="G191" i="32"/>
  <c r="C191" i="32"/>
  <c r="F190" i="32"/>
  <c r="B190" i="32"/>
  <c r="E189" i="32"/>
  <c r="H188" i="32"/>
  <c r="D188" i="32"/>
  <c r="G187" i="32"/>
  <c r="C187" i="32"/>
  <c r="F186" i="32"/>
  <c r="B186" i="32"/>
  <c r="E185" i="32"/>
  <c r="H184" i="32"/>
  <c r="D184" i="32"/>
  <c r="G183" i="32"/>
  <c r="C183" i="32"/>
  <c r="F182" i="32"/>
  <c r="B182" i="32"/>
  <c r="E181" i="32"/>
  <c r="H180" i="32"/>
  <c r="D180" i="32"/>
  <c r="H179" i="32"/>
  <c r="D179" i="32"/>
  <c r="G178" i="32"/>
  <c r="C178" i="32"/>
  <c r="F177" i="32"/>
  <c r="B177" i="32"/>
  <c r="E176" i="32"/>
  <c r="H175" i="32"/>
  <c r="D175" i="32"/>
  <c r="G174" i="32"/>
  <c r="C174" i="32"/>
  <c r="F173" i="32"/>
  <c r="B173" i="32"/>
  <c r="E172" i="32"/>
  <c r="H171" i="32"/>
  <c r="D171" i="32"/>
  <c r="G170" i="32"/>
  <c r="C170" i="32"/>
  <c r="F169" i="32"/>
  <c r="B169" i="32"/>
  <c r="E168" i="32"/>
  <c r="E167" i="32"/>
  <c r="H166" i="32"/>
  <c r="D166" i="32"/>
  <c r="G165" i="32"/>
  <c r="C165" i="32"/>
  <c r="F164" i="32"/>
  <c r="B164" i="32"/>
  <c r="E163" i="32"/>
  <c r="H162" i="32"/>
  <c r="D162" i="32"/>
  <c r="G161" i="32"/>
  <c r="C161" i="32"/>
  <c r="F160" i="32"/>
  <c r="B160" i="32"/>
  <c r="E159" i="32"/>
  <c r="H158" i="32"/>
  <c r="D158" i="32"/>
  <c r="G157" i="32"/>
  <c r="C157" i="32"/>
  <c r="F156" i="32"/>
  <c r="B156" i="32"/>
  <c r="F155" i="32"/>
  <c r="B155" i="32"/>
  <c r="E154" i="32"/>
  <c r="H153" i="32"/>
  <c r="D153" i="32"/>
  <c r="G152" i="32"/>
  <c r="C152" i="32"/>
  <c r="F151" i="32"/>
  <c r="B151" i="32"/>
  <c r="E150" i="32"/>
  <c r="H149" i="32"/>
  <c r="D149" i="32"/>
  <c r="G148" i="32"/>
  <c r="C148" i="32"/>
  <c r="F147" i="32"/>
  <c r="B147" i="32"/>
  <c r="E146" i="32"/>
  <c r="H145" i="32"/>
  <c r="D145" i="32"/>
  <c r="G144" i="32"/>
  <c r="C144" i="32"/>
  <c r="G143" i="32"/>
  <c r="C143" i="32"/>
  <c r="F142" i="32"/>
  <c r="B142" i="32"/>
  <c r="E141" i="32"/>
  <c r="H140" i="32"/>
  <c r="D140" i="32"/>
  <c r="G139" i="32"/>
  <c r="C139" i="32"/>
  <c r="F138" i="32"/>
  <c r="B138" i="32"/>
  <c r="E137" i="32"/>
  <c r="H136" i="32"/>
  <c r="F261" i="32"/>
  <c r="D259" i="32"/>
  <c r="B257" i="32"/>
  <c r="G254" i="32"/>
  <c r="E252" i="32"/>
  <c r="C250" i="32"/>
  <c r="H247" i="32"/>
  <c r="F245" i="32"/>
  <c r="D243" i="32"/>
  <c r="B241" i="32"/>
  <c r="H239" i="32"/>
  <c r="G238" i="32"/>
  <c r="F237" i="32"/>
  <c r="E236" i="32"/>
  <c r="D235" i="32"/>
  <c r="C234" i="32"/>
  <c r="B233" i="32"/>
  <c r="H231" i="32"/>
  <c r="G230" i="32"/>
  <c r="F229" i="32"/>
  <c r="E228" i="32"/>
  <c r="D227" i="32"/>
  <c r="C226" i="32"/>
  <c r="B225" i="32"/>
  <c r="H223" i="32"/>
  <c r="G222" i="32"/>
  <c r="F221" i="32"/>
  <c r="E220" i="32"/>
  <c r="D219" i="32"/>
  <c r="C218" i="32"/>
  <c r="B217" i="32"/>
  <c r="H215" i="32"/>
  <c r="G214" i="32"/>
  <c r="F213" i="32"/>
  <c r="E212" i="32"/>
  <c r="D211" i="32"/>
  <c r="C210" i="32"/>
  <c r="B209" i="32"/>
  <c r="H207" i="32"/>
  <c r="G206" i="32"/>
  <c r="F205" i="32"/>
  <c r="E204" i="32"/>
  <c r="G203" i="32"/>
  <c r="H202" i="32"/>
  <c r="D202" i="32"/>
  <c r="G201" i="32"/>
  <c r="C201" i="32"/>
  <c r="F200" i="32"/>
  <c r="B200" i="32"/>
  <c r="E199" i="32"/>
  <c r="H198" i="32"/>
  <c r="D198" i="32"/>
  <c r="G197" i="32"/>
  <c r="C197" i="32"/>
  <c r="F196" i="32"/>
  <c r="B196" i="32"/>
  <c r="E195" i="32"/>
  <c r="H194" i="32"/>
  <c r="D194" i="32"/>
  <c r="G193" i="32"/>
  <c r="C193" i="32"/>
  <c r="F192" i="32"/>
  <c r="B192" i="32"/>
  <c r="F191" i="32"/>
  <c r="B191" i="32"/>
  <c r="E190" i="32"/>
  <c r="H189" i="32"/>
  <c r="D189" i="32"/>
  <c r="G188" i="32"/>
  <c r="C188" i="32"/>
  <c r="F187" i="32"/>
  <c r="B187" i="32"/>
  <c r="E186" i="32"/>
  <c r="H185" i="32"/>
  <c r="D185" i="32"/>
  <c r="G184" i="32"/>
  <c r="C184" i="32"/>
  <c r="F183" i="32"/>
  <c r="B183" i="32"/>
  <c r="E182" i="32"/>
  <c r="H181" i="32"/>
  <c r="D181" i="32"/>
  <c r="G180" i="32"/>
  <c r="C180" i="32"/>
  <c r="G179" i="32"/>
  <c r="C179" i="32"/>
  <c r="F178" i="32"/>
  <c r="B178" i="32"/>
  <c r="E177" i="32"/>
  <c r="H176" i="32"/>
  <c r="D176" i="32"/>
  <c r="G175" i="32"/>
  <c r="C175" i="32"/>
  <c r="F174" i="32"/>
  <c r="B174" i="32"/>
  <c r="E173" i="32"/>
  <c r="H172" i="32"/>
  <c r="D172" i="32"/>
  <c r="G171" i="32"/>
  <c r="C171" i="32"/>
  <c r="F170" i="32"/>
  <c r="B170" i="32"/>
  <c r="E169" i="32"/>
  <c r="H168" i="32"/>
  <c r="D168" i="32"/>
  <c r="H167" i="32"/>
  <c r="D167" i="32"/>
  <c r="G166" i="32"/>
  <c r="C166" i="32"/>
  <c r="F165" i="32"/>
  <c r="B165" i="32"/>
  <c r="E164" i="32"/>
  <c r="H163" i="32"/>
  <c r="D163" i="32"/>
  <c r="G162" i="32"/>
  <c r="C162" i="32"/>
  <c r="F161" i="32"/>
  <c r="B161" i="32"/>
  <c r="E160" i="32"/>
  <c r="H159" i="32"/>
  <c r="D159" i="32"/>
  <c r="G158" i="32"/>
  <c r="C158" i="32"/>
  <c r="F157" i="32"/>
  <c r="B157" i="32"/>
  <c r="E156" i="32"/>
  <c r="E155" i="32"/>
  <c r="H154" i="32"/>
  <c r="D154" i="32"/>
  <c r="G153" i="32"/>
  <c r="C153" i="32"/>
  <c r="F152" i="32"/>
  <c r="B152" i="32"/>
  <c r="E151" i="32"/>
  <c r="H150" i="32"/>
  <c r="D150" i="32"/>
  <c r="G149" i="32"/>
  <c r="C149" i="32"/>
  <c r="F148" i="32"/>
  <c r="B148" i="32"/>
  <c r="E147" i="32"/>
  <c r="H146" i="32"/>
  <c r="D146" i="32"/>
  <c r="G145" i="32"/>
  <c r="C145" i="32"/>
  <c r="F144" i="32"/>
  <c r="B144" i="32"/>
  <c r="F143" i="32"/>
  <c r="B143" i="32"/>
  <c r="E142" i="32"/>
  <c r="H141" i="32"/>
  <c r="D141" i="32"/>
  <c r="G140" i="32"/>
  <c r="C140" i="32"/>
  <c r="F139" i="32"/>
  <c r="B139" i="32"/>
  <c r="E138" i="32"/>
  <c r="H137" i="32"/>
  <c r="D137" i="32"/>
  <c r="G136" i="32"/>
  <c r="C136" i="32"/>
  <c r="B261" i="32"/>
  <c r="G258" i="32"/>
  <c r="E256" i="32"/>
  <c r="C254" i="32"/>
  <c r="H251" i="32"/>
  <c r="F249" i="32"/>
  <c r="D247" i="32"/>
  <c r="B245" i="32"/>
  <c r="G242" i="32"/>
  <c r="F240" i="32"/>
  <c r="E239" i="32"/>
  <c r="D238" i="32"/>
  <c r="C237" i="32"/>
  <c r="B236" i="32"/>
  <c r="H234" i="32"/>
  <c r="G233" i="32"/>
  <c r="F232" i="32"/>
  <c r="E231" i="32"/>
  <c r="D230" i="32"/>
  <c r="C229" i="32"/>
  <c r="B228" i="32"/>
  <c r="H226" i="32"/>
  <c r="G225" i="32"/>
  <c r="F224" i="32"/>
  <c r="E223" i="32"/>
  <c r="D222" i="32"/>
  <c r="C221" i="32"/>
  <c r="B220" i="32"/>
  <c r="H218" i="32"/>
  <c r="G217" i="32"/>
  <c r="F216" i="32"/>
  <c r="E215" i="32"/>
  <c r="D214" i="32"/>
  <c r="C213" i="32"/>
  <c r="B212" i="32"/>
  <c r="H210" i="32"/>
  <c r="G209" i="32"/>
  <c r="F208" i="32"/>
  <c r="E207" i="32"/>
  <c r="D206" i="32"/>
  <c r="C205" i="32"/>
  <c r="D204" i="32"/>
  <c r="E203" i="32"/>
  <c r="G202" i="32"/>
  <c r="C202" i="32"/>
  <c r="F201" i="32"/>
  <c r="B201" i="32"/>
  <c r="E200" i="32"/>
  <c r="H199" i="32"/>
  <c r="D199" i="32"/>
  <c r="G198" i="32"/>
  <c r="C198" i="32"/>
  <c r="F197" i="32"/>
  <c r="B197" i="32"/>
  <c r="E196" i="32"/>
  <c r="H195" i="32"/>
  <c r="D195" i="32"/>
  <c r="G194" i="32"/>
  <c r="C194" i="32"/>
  <c r="F193" i="32"/>
  <c r="B193" i="32"/>
  <c r="E192" i="32"/>
  <c r="E191" i="32"/>
  <c r="H190" i="32"/>
  <c r="D190" i="32"/>
  <c r="G189" i="32"/>
  <c r="C189" i="32"/>
  <c r="F188" i="32"/>
  <c r="B188" i="32"/>
  <c r="E187" i="32"/>
  <c r="H186" i="32"/>
  <c r="D186" i="32"/>
  <c r="G185" i="32"/>
  <c r="C185" i="32"/>
  <c r="F184" i="32"/>
  <c r="B184" i="32"/>
  <c r="E183" i="32"/>
  <c r="H182" i="32"/>
  <c r="D182" i="32"/>
  <c r="G181" i="32"/>
  <c r="C181" i="32"/>
  <c r="F180" i="32"/>
  <c r="B180" i="32"/>
  <c r="F179" i="32"/>
  <c r="B179" i="32"/>
  <c r="E178" i="32"/>
  <c r="H177" i="32"/>
  <c r="D177" i="32"/>
  <c r="G176" i="32"/>
  <c r="C176" i="32"/>
  <c r="F175" i="32"/>
  <c r="B175" i="32"/>
  <c r="E174" i="32"/>
  <c r="H173" i="32"/>
  <c r="D173" i="32"/>
  <c r="G172" i="32"/>
  <c r="C172" i="32"/>
  <c r="F171" i="32"/>
  <c r="B171" i="32"/>
  <c r="E170" i="32"/>
  <c r="H169" i="32"/>
  <c r="D169" i="32"/>
  <c r="G168" i="32"/>
  <c r="C168" i="32"/>
  <c r="G167" i="32"/>
  <c r="C167" i="32"/>
  <c r="F166" i="32"/>
  <c r="B166" i="32"/>
  <c r="E165" i="32"/>
  <c r="H164" i="32"/>
  <c r="D164" i="32"/>
  <c r="G163" i="32"/>
  <c r="C163" i="32"/>
  <c r="F162" i="32"/>
  <c r="B162" i="32"/>
  <c r="E161" i="32"/>
  <c r="H160" i="32"/>
  <c r="D160" i="32"/>
  <c r="G159" i="32"/>
  <c r="C159" i="32"/>
  <c r="F158" i="32"/>
  <c r="B158" i="32"/>
  <c r="E157" i="32"/>
  <c r="H156" i="32"/>
  <c r="D156" i="32"/>
  <c r="H155" i="32"/>
  <c r="D155" i="32"/>
  <c r="G154" i="32"/>
  <c r="C154" i="32"/>
  <c r="F153" i="32"/>
  <c r="B153" i="32"/>
  <c r="E152" i="32"/>
  <c r="H151" i="32"/>
  <c r="D151" i="32"/>
  <c r="G150" i="32"/>
  <c r="C150" i="32"/>
  <c r="F149" i="32"/>
  <c r="B149" i="32"/>
  <c r="E148" i="32"/>
  <c r="H147" i="32"/>
  <c r="D147" i="32"/>
  <c r="G146" i="32"/>
  <c r="C146" i="32"/>
  <c r="F145" i="32"/>
  <c r="B145" i="32"/>
  <c r="E144" i="32"/>
  <c r="E143" i="32"/>
  <c r="H142" i="32"/>
  <c r="D142" i="32"/>
  <c r="G141" i="32"/>
  <c r="C141" i="32"/>
  <c r="F140" i="32"/>
  <c r="B140" i="32"/>
  <c r="E139" i="32"/>
  <c r="H138" i="32"/>
  <c r="D138" i="32"/>
  <c r="G137" i="32"/>
  <c r="E260" i="32"/>
  <c r="C258" i="32"/>
  <c r="H255" i="32"/>
  <c r="F253" i="32"/>
  <c r="D251" i="32"/>
  <c r="B249" i="32"/>
  <c r="G246" i="32"/>
  <c r="E244" i="32"/>
  <c r="C242" i="32"/>
  <c r="E240" i="32"/>
  <c r="D239" i="32"/>
  <c r="C238" i="32"/>
  <c r="B237" i="32"/>
  <c r="H235" i="32"/>
  <c r="G234" i="32"/>
  <c r="F233" i="32"/>
  <c r="E232" i="32"/>
  <c r="D231" i="32"/>
  <c r="C230" i="32"/>
  <c r="B229" i="32"/>
  <c r="H227" i="32"/>
  <c r="G226" i="32"/>
  <c r="F225" i="32"/>
  <c r="E224" i="32"/>
  <c r="D223" i="32"/>
  <c r="C222" i="32"/>
  <c r="B221" i="32"/>
  <c r="H219" i="32"/>
  <c r="G218" i="32"/>
  <c r="F217" i="32"/>
  <c r="E216" i="32"/>
  <c r="D215" i="32"/>
  <c r="C214" i="32"/>
  <c r="B213" i="32"/>
  <c r="H211" i="32"/>
  <c r="G210" i="32"/>
  <c r="F209" i="32"/>
  <c r="E208" i="32"/>
  <c r="D207" i="32"/>
  <c r="C206" i="32"/>
  <c r="B205" i="32"/>
  <c r="B204" i="32"/>
  <c r="D203" i="32"/>
  <c r="F202" i="32"/>
  <c r="B202" i="32"/>
  <c r="E201" i="32"/>
  <c r="H200" i="32"/>
  <c r="D200" i="32"/>
  <c r="G199" i="32"/>
  <c r="C199" i="32"/>
  <c r="F198" i="32"/>
  <c r="B198" i="32"/>
  <c r="E197" i="32"/>
  <c r="H196" i="32"/>
  <c r="D196" i="32"/>
  <c r="G195" i="32"/>
  <c r="C195" i="32"/>
  <c r="F194" i="32"/>
  <c r="B194" i="32"/>
  <c r="E193" i="32"/>
  <c r="H192" i="32"/>
  <c r="D192" i="32"/>
  <c r="H191" i="32"/>
  <c r="D191" i="32"/>
  <c r="G190" i="32"/>
  <c r="C190" i="32"/>
  <c r="F189" i="32"/>
  <c r="B189" i="32"/>
  <c r="E188" i="32"/>
  <c r="H187" i="32"/>
  <c r="D187" i="32"/>
  <c r="G186" i="32"/>
  <c r="C186" i="32"/>
  <c r="F185" i="32"/>
  <c r="B185" i="32"/>
  <c r="E184" i="32"/>
  <c r="H183" i="32"/>
  <c r="D183" i="32"/>
  <c r="G182" i="32"/>
  <c r="C182" i="32"/>
  <c r="F181" i="32"/>
  <c r="B181" i="32"/>
  <c r="E180" i="32"/>
  <c r="E179" i="32"/>
  <c r="H178" i="32"/>
  <c r="D178" i="32"/>
  <c r="G177" i="32"/>
  <c r="C177" i="32"/>
  <c r="F176" i="32"/>
  <c r="B176" i="32"/>
  <c r="E175" i="32"/>
  <c r="H174" i="32"/>
  <c r="D174" i="32"/>
  <c r="G173" i="32"/>
  <c r="C173" i="32"/>
  <c r="F172" i="32"/>
  <c r="B172" i="32"/>
  <c r="E171" i="32"/>
  <c r="H170" i="32"/>
  <c r="D170" i="32"/>
  <c r="G169" i="32"/>
  <c r="C169" i="32"/>
  <c r="F168" i="32"/>
  <c r="B168" i="32"/>
  <c r="F167" i="32"/>
  <c r="B167" i="32"/>
  <c r="E166" i="32"/>
  <c r="H165" i="32"/>
  <c r="D165" i="32"/>
  <c r="G164" i="32"/>
  <c r="C164" i="32"/>
  <c r="F163" i="32"/>
  <c r="B163" i="32"/>
  <c r="E162" i="32"/>
  <c r="H161" i="32"/>
  <c r="D161" i="32"/>
  <c r="G160" i="32"/>
  <c r="C160" i="32"/>
  <c r="F159" i="32"/>
  <c r="B159" i="32"/>
  <c r="E158" i="32"/>
  <c r="H157" i="32"/>
  <c r="D157" i="32"/>
  <c r="G156" i="32"/>
  <c r="C156" i="32"/>
  <c r="G155" i="32"/>
  <c r="C155" i="32"/>
  <c r="F154" i="32"/>
  <c r="B154" i="32"/>
  <c r="E153" i="32"/>
  <c r="H152" i="32"/>
  <c r="D152" i="32"/>
  <c r="G151" i="32"/>
  <c r="C151" i="32"/>
  <c r="F150" i="32"/>
  <c r="B150" i="32"/>
  <c r="E149" i="32"/>
  <c r="H148" i="32"/>
  <c r="D148" i="32"/>
  <c r="G147" i="32"/>
  <c r="C147" i="32"/>
  <c r="F146" i="32"/>
  <c r="B146" i="32"/>
  <c r="E145" i="32"/>
  <c r="H144" i="32"/>
  <c r="D144" i="32"/>
  <c r="H143" i="32"/>
  <c r="D143" i="32"/>
  <c r="G142" i="32"/>
  <c r="C142" i="32"/>
  <c r="F141" i="32"/>
  <c r="B141" i="32"/>
  <c r="E140" i="32"/>
  <c r="H139" i="32"/>
  <c r="D139" i="32"/>
  <c r="G138" i="32"/>
  <c r="C138" i="32"/>
  <c r="F137" i="32"/>
  <c r="B137" i="32"/>
  <c r="E136" i="32"/>
  <c r="H135" i="32"/>
  <c r="D135" i="32"/>
  <c r="G134" i="32"/>
  <c r="C134" i="32"/>
  <c r="F133" i="32"/>
  <c r="B133" i="32"/>
  <c r="E132" i="32"/>
  <c r="E131" i="32"/>
  <c r="F136" i="32"/>
  <c r="F135" i="32"/>
  <c r="H134" i="32"/>
  <c r="B134" i="32"/>
  <c r="D133" i="32"/>
  <c r="F132" i="32"/>
  <c r="H131" i="32"/>
  <c r="C131" i="32"/>
  <c r="F130" i="32"/>
  <c r="B130" i="32"/>
  <c r="E129" i="32"/>
  <c r="H128" i="32"/>
  <c r="D128" i="32"/>
  <c r="G127" i="32"/>
  <c r="C127" i="32"/>
  <c r="F126" i="32"/>
  <c r="B126" i="32"/>
  <c r="E125" i="32"/>
  <c r="H124" i="32"/>
  <c r="D124" i="32"/>
  <c r="G123" i="32"/>
  <c r="C123" i="32"/>
  <c r="F122" i="32"/>
  <c r="B122" i="32"/>
  <c r="E121" i="32"/>
  <c r="H120" i="32"/>
  <c r="D120" i="32"/>
  <c r="H119" i="32"/>
  <c r="D119" i="32"/>
  <c r="G118" i="32"/>
  <c r="C118" i="32"/>
  <c r="F117" i="32"/>
  <c r="B117" i="32"/>
  <c r="E116" i="32"/>
  <c r="H115" i="32"/>
  <c r="D115" i="32"/>
  <c r="G114" i="32"/>
  <c r="C114" i="32"/>
  <c r="F113" i="32"/>
  <c r="B113" i="32"/>
  <c r="E112" i="32"/>
  <c r="H111" i="32"/>
  <c r="D111" i="32"/>
  <c r="G110" i="32"/>
  <c r="C110" i="32"/>
  <c r="F109" i="32"/>
  <c r="B109" i="32"/>
  <c r="E108" i="32"/>
  <c r="E107" i="32"/>
  <c r="H106" i="32"/>
  <c r="D106" i="32"/>
  <c r="G105" i="32"/>
  <c r="C105" i="32"/>
  <c r="F104" i="32"/>
  <c r="B104" i="32"/>
  <c r="D136" i="32"/>
  <c r="E135" i="32"/>
  <c r="F134" i="32"/>
  <c r="H133" i="32"/>
  <c r="C133" i="32"/>
  <c r="D132" i="32"/>
  <c r="G131" i="32"/>
  <c r="B131" i="32"/>
  <c r="E130" i="32"/>
  <c r="H129" i="32"/>
  <c r="D129" i="32"/>
  <c r="G128" i="32"/>
  <c r="C128" i="32"/>
  <c r="F127" i="32"/>
  <c r="B127" i="32"/>
  <c r="E126" i="32"/>
  <c r="H125" i="32"/>
  <c r="D125" i="32"/>
  <c r="G124" i="32"/>
  <c r="C124" i="32"/>
  <c r="F123" i="32"/>
  <c r="B123" i="32"/>
  <c r="E122" i="32"/>
  <c r="H121" i="32"/>
  <c r="D121" i="32"/>
  <c r="G120" i="32"/>
  <c r="C120" i="32"/>
  <c r="G119" i="32"/>
  <c r="C119" i="32"/>
  <c r="F118" i="32"/>
  <c r="B118" i="32"/>
  <c r="E117" i="32"/>
  <c r="H116" i="32"/>
  <c r="D116" i="32"/>
  <c r="G115" i="32"/>
  <c r="C115" i="32"/>
  <c r="F114" i="32"/>
  <c r="B114" i="32"/>
  <c r="E113" i="32"/>
  <c r="H112" i="32"/>
  <c r="D112" i="32"/>
  <c r="G111" i="32"/>
  <c r="C111" i="32"/>
  <c r="F110" i="32"/>
  <c r="B110" i="32"/>
  <c r="E109" i="32"/>
  <c r="H108" i="32"/>
  <c r="D108" i="32"/>
  <c r="H107" i="32"/>
  <c r="D107" i="32"/>
  <c r="G106" i="32"/>
  <c r="C106" i="32"/>
  <c r="F105" i="32"/>
  <c r="B105" i="32"/>
  <c r="E104" i="32"/>
  <c r="H103" i="32"/>
  <c r="D103" i="32"/>
  <c r="G102" i="32"/>
  <c r="C102" i="32"/>
  <c r="F101" i="32"/>
  <c r="B101" i="32"/>
  <c r="E100" i="32"/>
  <c r="H99" i="32"/>
  <c r="D99" i="32"/>
  <c r="G98" i="32"/>
  <c r="C98" i="32"/>
  <c r="F97" i="32"/>
  <c r="B97" i="32"/>
  <c r="E96" i="32"/>
  <c r="E95" i="32"/>
  <c r="H94" i="32"/>
  <c r="D94" i="32"/>
  <c r="G93" i="32"/>
  <c r="C93" i="32"/>
  <c r="F92" i="32"/>
  <c r="B92" i="32"/>
  <c r="E91" i="32"/>
  <c r="H90" i="32"/>
  <c r="D90" i="32"/>
  <c r="G89" i="32"/>
  <c r="C89" i="32"/>
  <c r="F88" i="32"/>
  <c r="B88" i="32"/>
  <c r="E87" i="32"/>
  <c r="H86" i="32"/>
  <c r="D86" i="32"/>
  <c r="G85" i="32"/>
  <c r="C85" i="32"/>
  <c r="F84" i="32"/>
  <c r="B84" i="32"/>
  <c r="F83" i="32"/>
  <c r="B83" i="32"/>
  <c r="E82" i="32"/>
  <c r="H81" i="32"/>
  <c r="D81" i="32"/>
  <c r="G80" i="32"/>
  <c r="C80" i="32"/>
  <c r="F79" i="32"/>
  <c r="B79" i="32"/>
  <c r="E78" i="32"/>
  <c r="H77" i="32"/>
  <c r="D77" i="32"/>
  <c r="G76" i="32"/>
  <c r="C76" i="32"/>
  <c r="F75" i="32"/>
  <c r="B75" i="32"/>
  <c r="E74" i="32"/>
  <c r="H73" i="32"/>
  <c r="D73" i="32"/>
  <c r="G72" i="32"/>
  <c r="C72" i="32"/>
  <c r="G71" i="32"/>
  <c r="C71" i="32"/>
  <c r="F70" i="32"/>
  <c r="B70" i="32"/>
  <c r="E69" i="32"/>
  <c r="H68" i="32"/>
  <c r="D68" i="32"/>
  <c r="G67" i="32"/>
  <c r="C67" i="32"/>
  <c r="F66" i="32"/>
  <c r="B66" i="32"/>
  <c r="E65" i="32"/>
  <c r="H64" i="32"/>
  <c r="D64" i="32"/>
  <c r="G63" i="32"/>
  <c r="C63" i="32"/>
  <c r="F62" i="32"/>
  <c r="B62" i="32"/>
  <c r="E61" i="32"/>
  <c r="H60" i="32"/>
  <c r="D60" i="32"/>
  <c r="H59" i="32"/>
  <c r="D59" i="32"/>
  <c r="G58" i="32"/>
  <c r="C58" i="32"/>
  <c r="F57" i="32"/>
  <c r="B57" i="32"/>
  <c r="E56" i="32"/>
  <c r="H55" i="32"/>
  <c r="D55" i="32"/>
  <c r="G54" i="32"/>
  <c r="C54" i="32"/>
  <c r="F53" i="32"/>
  <c r="B53" i="32"/>
  <c r="E52" i="32"/>
  <c r="H51" i="32"/>
  <c r="D51" i="32"/>
  <c r="G50" i="32"/>
  <c r="C50" i="32"/>
  <c r="F49" i="32"/>
  <c r="B49" i="32"/>
  <c r="E48" i="32"/>
  <c r="E47" i="32"/>
  <c r="H46" i="32"/>
  <c r="D46" i="32"/>
  <c r="G45" i="32"/>
  <c r="C45" i="32"/>
  <c r="F44" i="32"/>
  <c r="B44" i="32"/>
  <c r="E43" i="32"/>
  <c r="H42" i="32"/>
  <c r="D42" i="32"/>
  <c r="G41" i="32"/>
  <c r="C41" i="32"/>
  <c r="F40" i="32"/>
  <c r="B40" i="32"/>
  <c r="E39" i="32"/>
  <c r="B136" i="32"/>
  <c r="C135" i="32"/>
  <c r="E134" i="32"/>
  <c r="G133" i="32"/>
  <c r="H132" i="32"/>
  <c r="C132" i="32"/>
  <c r="F131" i="32"/>
  <c r="H130" i="32"/>
  <c r="D130" i="32"/>
  <c r="G129" i="32"/>
  <c r="C129" i="32"/>
  <c r="F128" i="32"/>
  <c r="B128" i="32"/>
  <c r="E127" i="32"/>
  <c r="H126" i="32"/>
  <c r="D126" i="32"/>
  <c r="G125" i="32"/>
  <c r="C125" i="32"/>
  <c r="F124" i="32"/>
  <c r="B124" i="32"/>
  <c r="E123" i="32"/>
  <c r="H122" i="32"/>
  <c r="D122" i="32"/>
  <c r="G121" i="32"/>
  <c r="C121" i="32"/>
  <c r="F120" i="32"/>
  <c r="B120" i="32"/>
  <c r="F119" i="32"/>
  <c r="B119" i="32"/>
  <c r="E118" i="32"/>
  <c r="H117" i="32"/>
  <c r="D117" i="32"/>
  <c r="G116" i="32"/>
  <c r="C116" i="32"/>
  <c r="F115" i="32"/>
  <c r="B115" i="32"/>
  <c r="E114" i="32"/>
  <c r="H113" i="32"/>
  <c r="D113" i="32"/>
  <c r="G112" i="32"/>
  <c r="C112" i="32"/>
  <c r="F111" i="32"/>
  <c r="B111" i="32"/>
  <c r="E110" i="32"/>
  <c r="H109" i="32"/>
  <c r="D109" i="32"/>
  <c r="G108" i="32"/>
  <c r="C108" i="32"/>
  <c r="G107" i="32"/>
  <c r="C107" i="32"/>
  <c r="F106" i="32"/>
  <c r="B106" i="32"/>
  <c r="E105" i="32"/>
  <c r="H104" i="32"/>
  <c r="D104" i="32"/>
  <c r="G103" i="32"/>
  <c r="C103" i="32"/>
  <c r="F102" i="32"/>
  <c r="B102" i="32"/>
  <c r="E101" i="32"/>
  <c r="H100" i="32"/>
  <c r="D100" i="32"/>
  <c r="G99" i="32"/>
  <c r="C99" i="32"/>
  <c r="F98" i="32"/>
  <c r="B98" i="32"/>
  <c r="E97" i="32"/>
  <c r="H96" i="32"/>
  <c r="D96" i="32"/>
  <c r="H95" i="32"/>
  <c r="D95" i="32"/>
  <c r="G94" i="32"/>
  <c r="C94" i="32"/>
  <c r="F93" i="32"/>
  <c r="B93" i="32"/>
  <c r="E92" i="32"/>
  <c r="H91" i="32"/>
  <c r="D91" i="32"/>
  <c r="G90" i="32"/>
  <c r="C90" i="32"/>
  <c r="F89" i="32"/>
  <c r="B89" i="32"/>
  <c r="E88" i="32"/>
  <c r="H87" i="32"/>
  <c r="D87" i="32"/>
  <c r="G86" i="32"/>
  <c r="C86" i="32"/>
  <c r="F85" i="32"/>
  <c r="B85" i="32"/>
  <c r="E84" i="32"/>
  <c r="E83" i="32"/>
  <c r="H82" i="32"/>
  <c r="D82" i="32"/>
  <c r="G81" i="32"/>
  <c r="C81" i="32"/>
  <c r="F80" i="32"/>
  <c r="B80" i="32"/>
  <c r="E79" i="32"/>
  <c r="H78" i="32"/>
  <c r="D78" i="32"/>
  <c r="G77" i="32"/>
  <c r="C77" i="32"/>
  <c r="F76" i="32"/>
  <c r="B76" i="32"/>
  <c r="E75" i="32"/>
  <c r="H74" i="32"/>
  <c r="D74" i="32"/>
  <c r="G73" i="32"/>
  <c r="C73" i="32"/>
  <c r="F72" i="32"/>
  <c r="B72" i="32"/>
  <c r="F71" i="32"/>
  <c r="B71" i="32"/>
  <c r="E70" i="32"/>
  <c r="H69" i="32"/>
  <c r="D69" i="32"/>
  <c r="G68" i="32"/>
  <c r="C68" i="32"/>
  <c r="F67" i="32"/>
  <c r="B67" i="32"/>
  <c r="E66" i="32"/>
  <c r="H65" i="32"/>
  <c r="D65" i="32"/>
  <c r="G64" i="32"/>
  <c r="C64" i="32"/>
  <c r="F63" i="32"/>
  <c r="B63" i="32"/>
  <c r="E62" i="32"/>
  <c r="H61" i="32"/>
  <c r="D61" i="32"/>
  <c r="G60" i="32"/>
  <c r="C60" i="32"/>
  <c r="G59" i="32"/>
  <c r="C59" i="32"/>
  <c r="F58" i="32"/>
  <c r="B58" i="32"/>
  <c r="E57" i="32"/>
  <c r="H56" i="32"/>
  <c r="D56" i="32"/>
  <c r="G55" i="32"/>
  <c r="C55" i="32"/>
  <c r="F54" i="32"/>
  <c r="B54" i="32"/>
  <c r="E53" i="32"/>
  <c r="H52" i="32"/>
  <c r="D52" i="32"/>
  <c r="G51" i="32"/>
  <c r="C51" i="32"/>
  <c r="F50" i="32"/>
  <c r="B50" i="32"/>
  <c r="E49" i="32"/>
  <c r="H48" i="32"/>
  <c r="D48" i="32"/>
  <c r="H47" i="32"/>
  <c r="D47" i="32"/>
  <c r="G46" i="32"/>
  <c r="C46" i="32"/>
  <c r="F45" i="32"/>
  <c r="B45" i="32"/>
  <c r="E44" i="32"/>
  <c r="H43" i="32"/>
  <c r="D43" i="32"/>
  <c r="G42" i="32"/>
  <c r="C42" i="32"/>
  <c r="F41" i="32"/>
  <c r="B41" i="32"/>
  <c r="E40" i="32"/>
  <c r="H39" i="32"/>
  <c r="D39" i="32"/>
  <c r="G38" i="32"/>
  <c r="C38" i="32"/>
  <c r="F37" i="32"/>
  <c r="B37" i="32"/>
  <c r="E36" i="32"/>
  <c r="E35" i="32"/>
  <c r="H34" i="32"/>
  <c r="D34" i="32"/>
  <c r="G33" i="32"/>
  <c r="C33" i="32"/>
  <c r="F32" i="32"/>
  <c r="B32" i="32"/>
  <c r="E31" i="32"/>
  <c r="H30" i="32"/>
  <c r="D30" i="32"/>
  <c r="G29" i="32"/>
  <c r="C29" i="32"/>
  <c r="F28" i="32"/>
  <c r="B28" i="32"/>
  <c r="E27" i="32"/>
  <c r="H26" i="32"/>
  <c r="D26" i="32"/>
  <c r="G25" i="32"/>
  <c r="C25" i="32"/>
  <c r="F24" i="32"/>
  <c r="B24" i="32"/>
  <c r="F23" i="32"/>
  <c r="B13" i="32"/>
  <c r="F13" i="32"/>
  <c r="C14" i="32"/>
  <c r="G14" i="32"/>
  <c r="D15" i="32"/>
  <c r="H15" i="32"/>
  <c r="E16" i="32"/>
  <c r="B17" i="32"/>
  <c r="F17" i="32"/>
  <c r="C18" i="32"/>
  <c r="G18" i="32"/>
  <c r="D19" i="32"/>
  <c r="H19" i="32"/>
  <c r="E20" i="32"/>
  <c r="B21" i="32"/>
  <c r="F21" i="32"/>
  <c r="C22" i="32"/>
  <c r="G22" i="32"/>
  <c r="D23" i="32"/>
  <c r="G24" i="32"/>
  <c r="E25" i="32"/>
  <c r="C26" i="32"/>
  <c r="B27" i="32"/>
  <c r="G27" i="32"/>
  <c r="E28" i="32"/>
  <c r="D29" i="32"/>
  <c r="B30" i="32"/>
  <c r="G30" i="32"/>
  <c r="F31" i="32"/>
  <c r="D32" i="32"/>
  <c r="B33" i="32"/>
  <c r="H33" i="32"/>
  <c r="F34" i="32"/>
  <c r="D35" i="32"/>
  <c r="B36" i="32"/>
  <c r="G36" i="32"/>
  <c r="E37" i="32"/>
  <c r="D38" i="32"/>
  <c r="B39" i="32"/>
  <c r="C40" i="32"/>
  <c r="D41" i="32"/>
  <c r="E42" i="32"/>
  <c r="F43" i="32"/>
  <c r="G44" i="32"/>
  <c r="H45" i="32"/>
  <c r="B47" i="32"/>
  <c r="B48" i="32"/>
  <c r="C49" i="32"/>
  <c r="D50" i="32"/>
  <c r="E51" i="32"/>
  <c r="F52" i="32"/>
  <c r="G53" i="32"/>
  <c r="H54" i="32"/>
  <c r="B56" i="32"/>
  <c r="C57" i="32"/>
  <c r="D58" i="32"/>
  <c r="E59" i="32"/>
  <c r="E60" i="32"/>
  <c r="F61" i="32"/>
  <c r="G62" i="32"/>
  <c r="H63" i="32"/>
  <c r="B65" i="32"/>
  <c r="C66" i="32"/>
  <c r="D67" i="32"/>
  <c r="E68" i="32"/>
  <c r="F69" i="32"/>
  <c r="G70" i="32"/>
  <c r="H71" i="32"/>
  <c r="H72" i="32"/>
  <c r="B74" i="32"/>
  <c r="C75" i="32"/>
  <c r="D76" i="32"/>
  <c r="E77" i="32"/>
  <c r="F78" i="32"/>
  <c r="G79" i="32"/>
  <c r="H80" i="32"/>
  <c r="B82" i="32"/>
  <c r="C83" i="32"/>
  <c r="C84" i="32"/>
  <c r="D85" i="32"/>
  <c r="E86" i="32"/>
  <c r="F87" i="32"/>
  <c r="G88" i="32"/>
  <c r="H89" i="32"/>
  <c r="B91" i="32"/>
  <c r="C92" i="32"/>
  <c r="D93" i="32"/>
  <c r="E94" i="32"/>
  <c r="F95" i="32"/>
  <c r="F96" i="32"/>
  <c r="G97" i="32"/>
  <c r="H98" i="32"/>
  <c r="B100" i="32"/>
  <c r="C101" i="32"/>
  <c r="D102" i="32"/>
  <c r="E103" i="32"/>
  <c r="D105" i="32"/>
  <c r="F107" i="32"/>
  <c r="G109" i="32"/>
  <c r="B112" i="32"/>
  <c r="D114" i="32"/>
  <c r="F116" i="32"/>
  <c r="H118" i="32"/>
  <c r="B121" i="32"/>
  <c r="D123" i="32"/>
  <c r="F125" i="32"/>
  <c r="H127" i="32"/>
  <c r="C130" i="32"/>
  <c r="G132" i="32"/>
  <c r="G135" i="32"/>
  <c r="C13" i="32"/>
  <c r="G13" i="32"/>
  <c r="D14" i="32"/>
  <c r="H14" i="32"/>
  <c r="E15" i="32"/>
  <c r="B16" i="32"/>
  <c r="F16" i="32"/>
  <c r="C17" i="32"/>
  <c r="G17" i="32"/>
  <c r="D18" i="32"/>
  <c r="H18" i="32"/>
  <c r="E19" i="32"/>
  <c r="B20" i="32"/>
  <c r="F20" i="32"/>
  <c r="C21" i="32"/>
  <c r="G21" i="32"/>
  <c r="D22" i="32"/>
  <c r="H22" i="32"/>
  <c r="E23" i="32"/>
  <c r="C24" i="32"/>
  <c r="H24" i="32"/>
  <c r="F25" i="32"/>
  <c r="E26" i="32"/>
  <c r="C27" i="32"/>
  <c r="H27" i="32"/>
  <c r="G28" i="32"/>
  <c r="E29" i="32"/>
  <c r="C30" i="32"/>
  <c r="B31" i="32"/>
  <c r="G31" i="32"/>
  <c r="E32" i="32"/>
  <c r="D33" i="32"/>
  <c r="B34" i="32"/>
  <c r="G34" i="32"/>
  <c r="F35" i="32"/>
  <c r="C36" i="32"/>
  <c r="H36" i="32"/>
  <c r="G37" i="32"/>
  <c r="E38" i="32"/>
  <c r="C39" i="32"/>
  <c r="D40" i="32"/>
  <c r="E41" i="32"/>
  <c r="F42" i="32"/>
  <c r="G43" i="32"/>
  <c r="H44" i="32"/>
  <c r="B46" i="32"/>
  <c r="C47" i="32"/>
  <c r="C48" i="32"/>
  <c r="D49" i="32"/>
  <c r="E50" i="32"/>
  <c r="F51" i="32"/>
  <c r="G52" i="32"/>
  <c r="H53" i="32"/>
  <c r="B55" i="32"/>
  <c r="C56" i="32"/>
  <c r="D57" i="32"/>
  <c r="E58" i="32"/>
  <c r="F59" i="32"/>
  <c r="F60" i="32"/>
  <c r="G61" i="32"/>
  <c r="H62" i="32"/>
  <c r="B64" i="32"/>
  <c r="C65" i="32"/>
  <c r="D66" i="32"/>
  <c r="E67" i="32"/>
  <c r="F68" i="32"/>
  <c r="G69" i="32"/>
  <c r="H70" i="32"/>
  <c r="B73" i="32"/>
  <c r="C74" i="32"/>
  <c r="D75" i="32"/>
  <c r="E76" i="32"/>
  <c r="F77" i="32"/>
  <c r="G78" i="32"/>
  <c r="H79" i="32"/>
  <c r="B81" i="32"/>
  <c r="C82" i="32"/>
  <c r="D83" i="32"/>
  <c r="D84" i="32"/>
  <c r="E85" i="32"/>
  <c r="F86" i="32"/>
  <c r="G87" i="32"/>
  <c r="H88" i="32"/>
  <c r="B90" i="32"/>
  <c r="C91" i="32"/>
  <c r="D92" i="32"/>
  <c r="E93" i="32"/>
  <c r="F94" i="32"/>
  <c r="G95" i="32"/>
  <c r="G96" i="32"/>
  <c r="H97" i="32"/>
  <c r="B99" i="32"/>
  <c r="C100" i="32"/>
  <c r="D101" i="32"/>
  <c r="E102" i="32"/>
  <c r="F103" i="32"/>
  <c r="H105" i="32"/>
  <c r="B108" i="32"/>
  <c r="D110" i="32"/>
  <c r="F112" i="32"/>
  <c r="H114" i="32"/>
  <c r="C117" i="32"/>
  <c r="E119" i="32"/>
  <c r="F121" i="32"/>
  <c r="H123" i="32"/>
  <c r="C126" i="32"/>
  <c r="E128" i="32"/>
  <c r="G130" i="32"/>
  <c r="E133" i="32"/>
  <c r="C137" i="32"/>
  <c r="J107" i="32" l="1"/>
  <c r="J23" i="32"/>
  <c r="B25" i="7" s="1"/>
  <c r="J47" i="32"/>
  <c r="D25" i="7" s="1"/>
  <c r="J83" i="32"/>
  <c r="J131" i="32"/>
  <c r="J191" i="32"/>
  <c r="J143" i="32"/>
  <c r="J167" i="32"/>
  <c r="J155" i="32"/>
  <c r="J59" i="32"/>
  <c r="E25" i="7" s="1"/>
  <c r="J95" i="32"/>
  <c r="J35" i="32"/>
  <c r="C25" i="7" s="1"/>
  <c r="J71" i="32"/>
  <c r="F25" i="7" s="1"/>
  <c r="J119" i="32"/>
  <c r="J179" i="32"/>
  <c r="F71" i="3" l="1"/>
  <c r="G24" i="5" l="1"/>
  <c r="F24" i="5"/>
  <c r="E24" i="5"/>
  <c r="M34" i="4"/>
  <c r="G48" i="31"/>
  <c r="G67" i="31" s="1"/>
  <c r="G49" i="31"/>
  <c r="G50" i="31"/>
  <c r="G47" i="31"/>
  <c r="G39" i="31"/>
  <c r="G40" i="31"/>
  <c r="G41" i="31"/>
  <c r="G38" i="31"/>
  <c r="G32" i="31"/>
  <c r="G33" i="31"/>
  <c r="G34" i="31"/>
  <c r="G31" i="31"/>
  <c r="G25" i="31"/>
  <c r="G26" i="31"/>
  <c r="G27" i="31"/>
  <c r="G24" i="31"/>
  <c r="G16" i="31"/>
  <c r="G17" i="31"/>
  <c r="G18" i="31"/>
  <c r="G15" i="31"/>
  <c r="G9" i="31"/>
  <c r="G10" i="31"/>
  <c r="G11" i="31"/>
  <c r="G8" i="31"/>
  <c r="B19" i="4" s="1"/>
  <c r="B21" i="7" s="1"/>
  <c r="L51" i="31" l="1"/>
  <c r="M51" i="31" s="1"/>
  <c r="E51" i="31"/>
  <c r="G51" i="31" s="1"/>
  <c r="J49" i="31"/>
  <c r="L42" i="31"/>
  <c r="M42" i="31" s="1"/>
  <c r="E42" i="31"/>
  <c r="G42" i="31" s="1"/>
  <c r="J40" i="31"/>
  <c r="K40" i="31" s="1"/>
  <c r="L35" i="31"/>
  <c r="M35" i="31" s="1"/>
  <c r="E35" i="31"/>
  <c r="G35" i="31" s="1"/>
  <c r="J33" i="31"/>
  <c r="K33" i="31" s="1"/>
  <c r="L28" i="31"/>
  <c r="M28" i="31" s="1"/>
  <c r="E28" i="31"/>
  <c r="G28" i="31" s="1"/>
  <c r="J26" i="31"/>
  <c r="K26" i="31" s="1"/>
  <c r="L19" i="31"/>
  <c r="M19" i="31" s="1"/>
  <c r="E19" i="31"/>
  <c r="G19" i="31" s="1"/>
  <c r="J17" i="31"/>
  <c r="K17" i="31" s="1"/>
  <c r="L12" i="31"/>
  <c r="E12" i="31"/>
  <c r="G12" i="31" s="1"/>
  <c r="J10" i="31"/>
  <c r="K10" i="31" s="1"/>
  <c r="K56" i="31" l="1"/>
  <c r="C19" i="4"/>
  <c r="D19" i="4" s="1"/>
  <c r="E19" i="4" s="1"/>
  <c r="F19" i="4" s="1"/>
  <c r="D21" i="7"/>
  <c r="F21" i="7"/>
  <c r="C21" i="7"/>
  <c r="E21" i="7"/>
  <c r="L56" i="31"/>
  <c r="B51" i="7" s="1"/>
  <c r="K49" i="31"/>
  <c r="J53" i="31"/>
  <c r="M12" i="31"/>
  <c r="Q12" i="31" s="1"/>
  <c r="Q42" i="31"/>
  <c r="Q51" i="31"/>
  <c r="Q19" i="31"/>
  <c r="Q35" i="31"/>
  <c r="Q28" i="31"/>
  <c r="Q56" i="31" l="1"/>
  <c r="Q62" i="31" s="1"/>
  <c r="N66" i="31" s="1"/>
  <c r="M56" i="31"/>
  <c r="K66" i="31" s="1"/>
  <c r="B39" i="7"/>
  <c r="B53" i="7"/>
  <c r="B54" i="7" s="1"/>
  <c r="F12" i="25"/>
  <c r="F11" i="25" s="1"/>
  <c r="F19" i="25"/>
  <c r="F15" i="25" s="1"/>
  <c r="F20" i="25"/>
  <c r="F37" i="25"/>
  <c r="F36" i="25" s="1"/>
  <c r="F27" i="25" s="1"/>
  <c r="F38" i="25"/>
  <c r="F40" i="25"/>
  <c r="F41" i="25"/>
  <c r="F42" i="25"/>
  <c r="C39" i="7" l="1"/>
  <c r="D39" i="7" s="1"/>
  <c r="E39" i="7" s="1"/>
  <c r="F39" i="7" s="1"/>
  <c r="F29" i="25"/>
  <c r="Q50" i="16" l="1"/>
  <c r="Q51" i="16"/>
  <c r="C38" i="25"/>
  <c r="C39" i="25"/>
  <c r="D39" i="25" s="1"/>
  <c r="C40" i="25"/>
  <c r="C41" i="25"/>
  <c r="C42" i="25"/>
  <c r="C37" i="25"/>
  <c r="P48" i="16"/>
  <c r="Q48" i="16"/>
  <c r="S38" i="16"/>
  <c r="J71" i="3"/>
  <c r="E71" i="3"/>
  <c r="D63" i="3"/>
  <c r="D54" i="3"/>
  <c r="D55" i="3"/>
  <c r="S48" i="16" l="1"/>
  <c r="D21" i="15"/>
  <c r="G6" i="12" l="1"/>
  <c r="P2" i="16"/>
  <c r="I19" i="25" l="1"/>
  <c r="I20" i="25"/>
  <c r="I12" i="25"/>
  <c r="I11" i="25" s="1"/>
  <c r="D22" i="25"/>
  <c r="D20" i="25"/>
  <c r="I41" i="25" l="1"/>
  <c r="I42" i="25"/>
  <c r="P51" i="16"/>
  <c r="D38" i="25"/>
  <c r="D40" i="25"/>
  <c r="D41" i="25"/>
  <c r="D42" i="25"/>
  <c r="D37" i="25"/>
  <c r="I38" i="25"/>
  <c r="I37" i="25"/>
  <c r="I40" i="25"/>
  <c r="D36" i="25" l="1"/>
  <c r="D27" i="25" s="1"/>
  <c r="I36" i="25"/>
  <c r="D16" i="25"/>
  <c r="D15" i="25" l="1"/>
  <c r="I27" i="25"/>
  <c r="I29" i="25"/>
  <c r="Q47" i="16" l="1"/>
  <c r="Q46" i="16"/>
  <c r="P47" i="16"/>
  <c r="P49" i="16"/>
  <c r="P50" i="16"/>
  <c r="S50" i="16" s="1"/>
  <c r="P46" i="16"/>
  <c r="S37" i="16"/>
  <c r="S40" i="16"/>
  <c r="S41" i="16"/>
  <c r="S36" i="16"/>
  <c r="P42" i="16"/>
  <c r="S39" i="16"/>
  <c r="L31" i="24"/>
  <c r="G31" i="24"/>
  <c r="L28" i="24"/>
  <c r="G28" i="24"/>
  <c r="L25" i="24"/>
  <c r="G25" i="24"/>
  <c r="L15" i="24"/>
  <c r="L14" i="24"/>
  <c r="G14" i="24"/>
  <c r="L9" i="24"/>
  <c r="G9" i="24"/>
  <c r="C9" i="24"/>
  <c r="L45" i="23"/>
  <c r="G45" i="23"/>
  <c r="L42" i="23"/>
  <c r="G42" i="23"/>
  <c r="L39" i="23"/>
  <c r="G39" i="23"/>
  <c r="L28" i="23"/>
  <c r="G28" i="23"/>
  <c r="L21" i="23"/>
  <c r="G21" i="23"/>
  <c r="L13" i="23"/>
  <c r="G13" i="23"/>
  <c r="L29" i="23" l="1"/>
  <c r="L46" i="23"/>
  <c r="L16" i="24"/>
  <c r="G29" i="23"/>
  <c r="G32" i="23" s="1"/>
  <c r="S47" i="16"/>
  <c r="S46" i="16"/>
  <c r="Q42" i="16"/>
  <c r="S42" i="16" s="1"/>
  <c r="Q49" i="16"/>
  <c r="S49" i="16" s="1"/>
  <c r="G46" i="23"/>
  <c r="G32" i="24"/>
  <c r="G15" i="24"/>
  <c r="G17" i="24" s="1"/>
  <c r="G37" i="24" s="1"/>
  <c r="G43" i="24" s="1"/>
  <c r="G46" i="24" s="1"/>
  <c r="I18" i="25"/>
  <c r="I15" i="25" s="1"/>
  <c r="L32" i="24"/>
  <c r="L43" i="24" s="1"/>
  <c r="L45" i="24" s="1"/>
  <c r="P52" i="16"/>
  <c r="S51" i="16"/>
  <c r="L57" i="23" l="1"/>
  <c r="L59" i="23" s="1"/>
  <c r="G51" i="23"/>
  <c r="G57" i="23" s="1"/>
  <c r="G60" i="23" s="1"/>
  <c r="Q52" i="16"/>
  <c r="I5" i="4"/>
  <c r="Q55" i="16" l="1"/>
  <c r="S52" i="16"/>
  <c r="B55" i="2" l="1"/>
  <c r="I24" i="2"/>
  <c r="D55" i="2"/>
  <c r="E55" i="2" s="1"/>
  <c r="F55" i="2" s="1"/>
  <c r="G55" i="2" s="1"/>
  <c r="H55" i="2" s="1"/>
  <c r="F5" i="17" l="1"/>
  <c r="I5" i="5"/>
  <c r="I5" i="2"/>
  <c r="K5" i="16"/>
  <c r="K5" i="3"/>
  <c r="F5" i="7"/>
  <c r="K4" i="15"/>
  <c r="C27" i="5" l="1"/>
  <c r="B23" i="7" s="1"/>
  <c r="F2" i="16"/>
  <c r="B28" i="7"/>
  <c r="C28" i="7" s="1"/>
  <c r="D28" i="7" s="1"/>
  <c r="E28" i="7" s="1"/>
  <c r="F28" i="7" s="1"/>
  <c r="B47" i="4"/>
  <c r="F42" i="4"/>
  <c r="E42" i="4"/>
  <c r="D42" i="4"/>
  <c r="C42" i="4"/>
  <c r="B42" i="4"/>
  <c r="A43" i="7"/>
  <c r="A42" i="7"/>
  <c r="B43" i="7"/>
  <c r="C43" i="7" s="1"/>
  <c r="D43" i="7" s="1"/>
  <c r="E43" i="7" s="1"/>
  <c r="F43" i="7" s="1"/>
  <c r="B42" i="7"/>
  <c r="C42" i="7" s="1"/>
  <c r="D42" i="7" s="1"/>
  <c r="E42" i="7" s="1"/>
  <c r="F42" i="7" s="1"/>
  <c r="H83" i="16"/>
  <c r="G83" i="16"/>
  <c r="F83" i="16"/>
  <c r="E83" i="16"/>
  <c r="D83" i="16"/>
  <c r="G92" i="15" l="1"/>
  <c r="H92" i="15"/>
  <c r="I92" i="15"/>
  <c r="J92" i="15"/>
  <c r="F92" i="15"/>
  <c r="G91" i="15"/>
  <c r="H91" i="15"/>
  <c r="I91" i="15"/>
  <c r="J91" i="15"/>
  <c r="F91" i="15"/>
  <c r="G90" i="15"/>
  <c r="H90" i="15"/>
  <c r="I90" i="15"/>
  <c r="J90" i="15"/>
  <c r="F90" i="15"/>
  <c r="G89" i="15"/>
  <c r="H89" i="15"/>
  <c r="I89" i="15"/>
  <c r="J89" i="15"/>
  <c r="F89" i="15"/>
  <c r="G88" i="15"/>
  <c r="H88" i="15"/>
  <c r="I88" i="15"/>
  <c r="J88" i="15"/>
  <c r="F88" i="15"/>
  <c r="B88" i="15"/>
  <c r="B89" i="15"/>
  <c r="B92" i="15"/>
  <c r="B91" i="15"/>
  <c r="B90" i="15"/>
  <c r="D2" i="5"/>
  <c r="F7" i="5"/>
  <c r="F5" i="5"/>
  <c r="D2" i="4"/>
  <c r="F7" i="4"/>
  <c r="F5" i="4"/>
  <c r="D68" i="2" l="1"/>
  <c r="E68" i="2" s="1"/>
  <c r="F68" i="2" s="1"/>
  <c r="G68" i="2" s="1"/>
  <c r="H68" i="2" s="1"/>
  <c r="D67" i="2"/>
  <c r="E67" i="2" s="1"/>
  <c r="F67" i="2" s="1"/>
  <c r="G67" i="2" s="1"/>
  <c r="H67" i="2" s="1"/>
  <c r="D66" i="2"/>
  <c r="E66" i="2" s="1"/>
  <c r="F66" i="2" s="1"/>
  <c r="G66" i="2" s="1"/>
  <c r="H66" i="2" s="1"/>
  <c r="D65" i="2"/>
  <c r="E65" i="2" s="1"/>
  <c r="F65" i="2" s="1"/>
  <c r="G65" i="2" s="1"/>
  <c r="H65" i="2" s="1"/>
  <c r="D64" i="2"/>
  <c r="E64" i="2" s="1"/>
  <c r="F64" i="2" s="1"/>
  <c r="G64" i="2" s="1"/>
  <c r="H64" i="2" s="1"/>
  <c r="D63" i="2"/>
  <c r="E63" i="2" s="1"/>
  <c r="F63" i="2" s="1"/>
  <c r="G63" i="2" s="1"/>
  <c r="H63" i="2" s="1"/>
  <c r="D62" i="2"/>
  <c r="E62" i="2" s="1"/>
  <c r="F62" i="2" s="1"/>
  <c r="G62" i="2" s="1"/>
  <c r="H62" i="2" s="1"/>
  <c r="D61" i="2"/>
  <c r="E61" i="2" s="1"/>
  <c r="F61" i="2" s="1"/>
  <c r="G61" i="2" s="1"/>
  <c r="H61" i="2" s="1"/>
  <c r="D60" i="2"/>
  <c r="E60" i="2" s="1"/>
  <c r="F60" i="2" s="1"/>
  <c r="G60" i="2" s="1"/>
  <c r="H60" i="2" s="1"/>
  <c r="D59" i="2"/>
  <c r="E59" i="2" s="1"/>
  <c r="F59" i="2" s="1"/>
  <c r="G59" i="2" s="1"/>
  <c r="H59" i="2" s="1"/>
  <c r="D58" i="2"/>
  <c r="E58" i="2" s="1"/>
  <c r="F58" i="2" s="1"/>
  <c r="G58" i="2" s="1"/>
  <c r="H58" i="2" s="1"/>
  <c r="D57" i="2"/>
  <c r="E57" i="2" s="1"/>
  <c r="F57" i="2" s="1"/>
  <c r="G57" i="2" s="1"/>
  <c r="H57" i="2" s="1"/>
  <c r="D56" i="2"/>
  <c r="E56" i="2" s="1"/>
  <c r="F56" i="2" s="1"/>
  <c r="G56" i="2" s="1"/>
  <c r="H56" i="2" s="1"/>
  <c r="D54" i="2"/>
  <c r="E54" i="2" s="1"/>
  <c r="F54" i="2" s="1"/>
  <c r="G54" i="2" s="1"/>
  <c r="H54" i="2" s="1"/>
  <c r="D53" i="2"/>
  <c r="E53" i="2" s="1"/>
  <c r="F53" i="2" s="1"/>
  <c r="G53" i="2" s="1"/>
  <c r="H53" i="2" s="1"/>
  <c r="D52" i="2"/>
  <c r="E52" i="2" s="1"/>
  <c r="F52" i="2" s="1"/>
  <c r="G52" i="2" s="1"/>
  <c r="H52" i="2" s="1"/>
  <c r="D49" i="2"/>
  <c r="E49" i="2" s="1"/>
  <c r="F49" i="2" s="1"/>
  <c r="G49" i="2" s="1"/>
  <c r="H49" i="2" s="1"/>
  <c r="D48" i="2"/>
  <c r="E48" i="2" s="1"/>
  <c r="F48" i="2" s="1"/>
  <c r="G48" i="2" s="1"/>
  <c r="H48" i="2" s="1"/>
  <c r="D47" i="2"/>
  <c r="E47" i="2" s="1"/>
  <c r="F47" i="2" s="1"/>
  <c r="G47" i="2" s="1"/>
  <c r="H47" i="2" s="1"/>
  <c r="D46" i="2"/>
  <c r="E46" i="2" s="1"/>
  <c r="F46" i="2" s="1"/>
  <c r="G46" i="2" s="1"/>
  <c r="H46" i="2" s="1"/>
  <c r="D45" i="2"/>
  <c r="E45" i="2" s="1"/>
  <c r="F45" i="2" s="1"/>
  <c r="G45" i="2" s="1"/>
  <c r="H45" i="2" s="1"/>
  <c r="D44" i="2"/>
  <c r="E44" i="2" s="1"/>
  <c r="F44" i="2" s="1"/>
  <c r="G44" i="2" s="1"/>
  <c r="H44" i="2" s="1"/>
  <c r="D2" i="2"/>
  <c r="F7" i="2"/>
  <c r="F5" i="2"/>
  <c r="H58" i="16"/>
  <c r="G58" i="16"/>
  <c r="F58" i="16"/>
  <c r="E58" i="16"/>
  <c r="D58" i="16"/>
  <c r="A74" i="16"/>
  <c r="B74" i="16"/>
  <c r="A75" i="16"/>
  <c r="B75" i="16"/>
  <c r="B73" i="16"/>
  <c r="A73" i="16"/>
  <c r="A62" i="16"/>
  <c r="B62" i="16"/>
  <c r="A63" i="16"/>
  <c r="B63" i="16"/>
  <c r="B61" i="16"/>
  <c r="A61" i="16"/>
  <c r="B54" i="16"/>
  <c r="A54" i="16"/>
  <c r="B53" i="16"/>
  <c r="A53" i="16"/>
  <c r="B52" i="16"/>
  <c r="A52" i="16"/>
  <c r="A45" i="16"/>
  <c r="A44" i="16"/>
  <c r="A40" i="16"/>
  <c r="B40" i="16"/>
  <c r="A41" i="16"/>
  <c r="B41" i="16"/>
  <c r="B39" i="16"/>
  <c r="A39" i="16"/>
  <c r="J41" i="16"/>
  <c r="J40" i="16"/>
  <c r="J39" i="16"/>
  <c r="A24" i="16"/>
  <c r="B24" i="16"/>
  <c r="A25" i="16"/>
  <c r="B25" i="16"/>
  <c r="B23" i="16"/>
  <c r="A23" i="16"/>
  <c r="L47" i="16"/>
  <c r="D81" i="16" s="1"/>
  <c r="E66" i="16"/>
  <c r="F66" i="16"/>
  <c r="G66" i="16"/>
  <c r="H66" i="16"/>
  <c r="D66" i="16"/>
  <c r="E65" i="16"/>
  <c r="F65" i="16"/>
  <c r="G65" i="16"/>
  <c r="H65" i="16"/>
  <c r="D65" i="16"/>
  <c r="D52" i="16"/>
  <c r="D61" i="16" s="1"/>
  <c r="E27" i="3"/>
  <c r="F7" i="16"/>
  <c r="G5" i="16"/>
  <c r="C2" i="17" l="1"/>
  <c r="C2" i="7"/>
  <c r="D7" i="17"/>
  <c r="G5" i="3"/>
  <c r="F2" i="3"/>
  <c r="D7" i="3"/>
  <c r="D7" i="7"/>
  <c r="H12" i="15"/>
  <c r="E12" i="15"/>
  <c r="D12" i="15"/>
  <c r="A69" i="15"/>
  <c r="G68" i="15"/>
  <c r="H75" i="15"/>
  <c r="D57" i="16" l="1"/>
  <c r="D54" i="16" l="1"/>
  <c r="D63" i="16" s="1"/>
  <c r="E54" i="16"/>
  <c r="E63" i="16" s="1"/>
  <c r="F54" i="16"/>
  <c r="F63" i="16" s="1"/>
  <c r="G54" i="16"/>
  <c r="G63" i="16" s="1"/>
  <c r="H54" i="16"/>
  <c r="H63" i="16" s="1"/>
  <c r="D53" i="16"/>
  <c r="D62" i="16" s="1"/>
  <c r="E53" i="16"/>
  <c r="E62" i="16" s="1"/>
  <c r="F53" i="16"/>
  <c r="F62" i="16" s="1"/>
  <c r="G53" i="16"/>
  <c r="G62" i="16" s="1"/>
  <c r="H53" i="16"/>
  <c r="H62" i="16" s="1"/>
  <c r="E52" i="16"/>
  <c r="E61" i="16" s="1"/>
  <c r="F52" i="16"/>
  <c r="F61" i="16" s="1"/>
  <c r="G52" i="16"/>
  <c r="G61" i="16" s="1"/>
  <c r="H52" i="16"/>
  <c r="H61" i="16" s="1"/>
  <c r="H79" i="16"/>
  <c r="G79" i="16"/>
  <c r="F79" i="16"/>
  <c r="E79" i="16"/>
  <c r="D79" i="16"/>
  <c r="E57" i="16"/>
  <c r="B31" i="16"/>
  <c r="A31" i="16"/>
  <c r="B30" i="16"/>
  <c r="C28" i="16"/>
  <c r="A30" i="16"/>
  <c r="B29" i="16"/>
  <c r="A29" i="16"/>
  <c r="B66" i="16"/>
  <c r="B45" i="16" s="1"/>
  <c r="B65" i="16"/>
  <c r="B44" i="16" s="1"/>
  <c r="C60" i="16"/>
  <c r="H16" i="16"/>
  <c r="G16" i="16"/>
  <c r="F16" i="16"/>
  <c r="E16" i="16"/>
  <c r="D16" i="16"/>
  <c r="C16" i="16"/>
  <c r="F73" i="16" l="1"/>
  <c r="D75" i="16"/>
  <c r="B40" i="7"/>
  <c r="B44" i="7" s="1"/>
  <c r="F81" i="16"/>
  <c r="E81" i="16"/>
  <c r="E74" i="16"/>
  <c r="F77" i="16"/>
  <c r="F75" i="16"/>
  <c r="E42" i="16"/>
  <c r="D73" i="16"/>
  <c r="E73" i="16"/>
  <c r="E75" i="16"/>
  <c r="D77" i="16"/>
  <c r="F42" i="16"/>
  <c r="F74" i="16"/>
  <c r="H81" i="16"/>
  <c r="H73" i="16"/>
  <c r="E77" i="16"/>
  <c r="F27" i="3"/>
  <c r="G27" i="3"/>
  <c r="H27" i="3"/>
  <c r="I27" i="3"/>
  <c r="J27" i="3"/>
  <c r="K27" i="3"/>
  <c r="C40" i="7" l="1"/>
  <c r="D40" i="7" s="1"/>
  <c r="H36" i="3"/>
  <c r="I36" i="3"/>
  <c r="G36" i="3"/>
  <c r="E55" i="16"/>
  <c r="D40" i="5" s="1"/>
  <c r="F55" i="16"/>
  <c r="F72" i="16"/>
  <c r="F57" i="16"/>
  <c r="D55" i="16"/>
  <c r="C40" i="5" s="1"/>
  <c r="D74" i="16"/>
  <c r="D72" i="16" s="1"/>
  <c r="D89" i="16" s="1"/>
  <c r="D42" i="16"/>
  <c r="E72" i="16"/>
  <c r="E89" i="16" s="1"/>
  <c r="G77" i="16"/>
  <c r="G57" i="16"/>
  <c r="G42" i="16"/>
  <c r="H57" i="16"/>
  <c r="H77" i="16"/>
  <c r="G73" i="16"/>
  <c r="G81" i="16"/>
  <c r="E40" i="7" l="1"/>
  <c r="F40" i="7" s="1"/>
  <c r="F89" i="16"/>
  <c r="E40" i="5"/>
  <c r="G75" i="16"/>
  <c r="G74" i="16"/>
  <c r="H75" i="16"/>
  <c r="H74" i="16"/>
  <c r="H42" i="16"/>
  <c r="B36" i="5"/>
  <c r="D39" i="5" l="1"/>
  <c r="C39" i="5"/>
  <c r="E39" i="5"/>
  <c r="G55" i="16"/>
  <c r="F40" i="5" s="1"/>
  <c r="G72" i="16"/>
  <c r="H72" i="16"/>
  <c r="H55" i="16"/>
  <c r="G40" i="5" s="1"/>
  <c r="K71" i="3"/>
  <c r="K61" i="3"/>
  <c r="K53" i="3"/>
  <c r="K42" i="3"/>
  <c r="K26" i="3"/>
  <c r="K25" i="3"/>
  <c r="K24" i="3"/>
  <c r="K23" i="3"/>
  <c r="H89" i="16" l="1"/>
  <c r="F39" i="5"/>
  <c r="G89" i="16"/>
  <c r="G39" i="5"/>
  <c r="K28" i="3"/>
  <c r="B201" i="9"/>
  <c r="D202" i="9"/>
  <c r="C203" i="9"/>
  <c r="A9" i="9"/>
  <c r="B202" i="9"/>
  <c r="A73" i="9"/>
  <c r="D201" i="9"/>
  <c r="C202" i="9"/>
  <c r="C201" i="9"/>
  <c r="D203" i="9"/>
  <c r="A128" i="9"/>
  <c r="B203" i="9"/>
  <c r="A191" i="9"/>
  <c r="E27" i="5" l="1"/>
  <c r="D23" i="7" s="1"/>
  <c r="I96" i="12"/>
  <c r="E22" i="3" s="1"/>
  <c r="E52" i="3" s="1"/>
  <c r="I68" i="15" l="1"/>
  <c r="B42" i="17"/>
  <c r="C42" i="17" s="1"/>
  <c r="D42" i="17" s="1"/>
  <c r="E42" i="17" s="1"/>
  <c r="F42" i="17" s="1"/>
  <c r="B55" i="17"/>
  <c r="C55" i="17" s="1"/>
  <c r="D55" i="17" s="1"/>
  <c r="E55" i="17" s="1"/>
  <c r="F55" i="17" s="1"/>
  <c r="B29" i="17"/>
  <c r="C29" i="17" s="1"/>
  <c r="D29" i="17" s="1"/>
  <c r="E29" i="17" s="1"/>
  <c r="F29" i="17" s="1"/>
  <c r="B68" i="17"/>
  <c r="C68" i="17" s="1"/>
  <c r="D68" i="17" s="1"/>
  <c r="E68" i="17" s="1"/>
  <c r="F68" i="17" s="1"/>
  <c r="D11" i="2"/>
  <c r="B16" i="17"/>
  <c r="D12" i="16"/>
  <c r="D71" i="16"/>
  <c r="E71" i="16" s="1"/>
  <c r="F71" i="16" s="1"/>
  <c r="G71" i="16" s="1"/>
  <c r="H71" i="16" s="1"/>
  <c r="D37" i="16"/>
  <c r="E37" i="16" s="1"/>
  <c r="F37" i="16" s="1"/>
  <c r="G37" i="16" s="1"/>
  <c r="H37" i="16" s="1"/>
  <c r="F79" i="15"/>
  <c r="G79" i="15" s="1"/>
  <c r="H79" i="15" s="1"/>
  <c r="I79" i="15" s="1"/>
  <c r="J79" i="15" s="1"/>
  <c r="D51" i="16"/>
  <c r="E51" i="16" s="1"/>
  <c r="F51" i="16" s="1"/>
  <c r="G51" i="16" s="1"/>
  <c r="H51" i="16" s="1"/>
  <c r="C38" i="5"/>
  <c r="D38" i="5" s="1"/>
  <c r="E38" i="5" s="1"/>
  <c r="F38" i="5" s="1"/>
  <c r="G38" i="5" s="1"/>
  <c r="B41" i="4"/>
  <c r="C41" i="4" s="1"/>
  <c r="D41" i="4" s="1"/>
  <c r="E41" i="4" s="1"/>
  <c r="F41" i="4" s="1"/>
  <c r="C16" i="5"/>
  <c r="D16" i="5" s="1"/>
  <c r="E16" i="5" s="1"/>
  <c r="F16" i="5" s="1"/>
  <c r="G16" i="5" s="1"/>
  <c r="B16" i="4"/>
  <c r="C16" i="4" s="1"/>
  <c r="D16" i="4" s="1"/>
  <c r="E16" i="4" s="1"/>
  <c r="F16" i="4" s="1"/>
  <c r="D27" i="5"/>
  <c r="C23" i="7" s="1"/>
  <c r="B13" i="7"/>
  <c r="C13" i="7" s="1"/>
  <c r="D13" i="7" s="1"/>
  <c r="E13" i="7" s="1"/>
  <c r="F13" i="7" s="1"/>
  <c r="C16" i="17" l="1"/>
  <c r="F87" i="15"/>
  <c r="E11" i="2"/>
  <c r="D42" i="2"/>
  <c r="F80" i="15"/>
  <c r="D44" i="7"/>
  <c r="H80" i="15" s="1"/>
  <c r="E12" i="16"/>
  <c r="D60" i="16"/>
  <c r="D28" i="16"/>
  <c r="E70" i="3"/>
  <c r="F22" i="3"/>
  <c r="E41" i="3"/>
  <c r="E31" i="3"/>
  <c r="E60" i="3"/>
  <c r="D47" i="4"/>
  <c r="B29" i="4"/>
  <c r="D29" i="4"/>
  <c r="G27" i="5"/>
  <c r="F23" i="7" s="1"/>
  <c r="G22" i="3" l="1"/>
  <c r="G52" i="3" s="1"/>
  <c r="F52" i="3"/>
  <c r="D16" i="17"/>
  <c r="G87" i="15"/>
  <c r="F11" i="2"/>
  <c r="E42" i="2"/>
  <c r="B32" i="7"/>
  <c r="C32" i="7" s="1"/>
  <c r="D32" i="7" s="1"/>
  <c r="E32" i="7" s="1"/>
  <c r="F32" i="7" s="1"/>
  <c r="B31" i="7"/>
  <c r="C31" i="7" s="1"/>
  <c r="D31" i="7" s="1"/>
  <c r="E31" i="7" s="1"/>
  <c r="F31" i="7" s="1"/>
  <c r="B30" i="7"/>
  <c r="C30" i="7" s="1"/>
  <c r="D30" i="7" s="1"/>
  <c r="E30" i="7" s="1"/>
  <c r="F30" i="7" s="1"/>
  <c r="C44" i="7"/>
  <c r="G80" i="15" s="1"/>
  <c r="B29" i="7"/>
  <c r="C29" i="7" s="1"/>
  <c r="D29" i="7" s="1"/>
  <c r="E29" i="7" s="1"/>
  <c r="F29" i="7" s="1"/>
  <c r="E28" i="16"/>
  <c r="E60" i="16"/>
  <c r="F12" i="16"/>
  <c r="F31" i="3"/>
  <c r="F70" i="3"/>
  <c r="F41" i="3"/>
  <c r="F60" i="3"/>
  <c r="F27" i="5"/>
  <c r="E23" i="7" s="1"/>
  <c r="C29" i="4"/>
  <c r="C47" i="4"/>
  <c r="G41" i="3"/>
  <c r="H22" i="3"/>
  <c r="H52" i="3" s="1"/>
  <c r="G31" i="3" l="1"/>
  <c r="G60" i="3"/>
  <c r="G70" i="3"/>
  <c r="E16" i="17"/>
  <c r="H87" i="15"/>
  <c r="G11" i="2"/>
  <c r="F42" i="2"/>
  <c r="E44" i="7"/>
  <c r="I80" i="15" s="1"/>
  <c r="F44" i="7"/>
  <c r="J80" i="15" s="1"/>
  <c r="F28" i="16"/>
  <c r="F60" i="16"/>
  <c r="G12" i="16"/>
  <c r="F29" i="4"/>
  <c r="F47" i="4"/>
  <c r="E29" i="4"/>
  <c r="E47" i="4"/>
  <c r="H60" i="3"/>
  <c r="H70" i="3"/>
  <c r="H41" i="3"/>
  <c r="H31" i="3"/>
  <c r="I22" i="3"/>
  <c r="I52" i="3" s="1"/>
  <c r="F16" i="17" l="1"/>
  <c r="J87" i="15" s="1"/>
  <c r="I87" i="15"/>
  <c r="H11" i="2"/>
  <c r="H42" i="2" s="1"/>
  <c r="G42" i="2"/>
  <c r="G28" i="16"/>
  <c r="H12" i="16"/>
  <c r="G60" i="16"/>
  <c r="I60" i="3"/>
  <c r="I70" i="3"/>
  <c r="I31" i="3"/>
  <c r="I41" i="3"/>
  <c r="J22" i="3"/>
  <c r="K22" i="3" l="1"/>
  <c r="K52" i="3" s="1"/>
  <c r="J52" i="3"/>
  <c r="H28" i="16"/>
  <c r="H60" i="16"/>
  <c r="J70" i="3"/>
  <c r="J31" i="3"/>
  <c r="J41" i="3"/>
  <c r="J60" i="3"/>
  <c r="K70" i="3" l="1"/>
  <c r="K60" i="3"/>
  <c r="K31" i="3"/>
  <c r="K41" i="3"/>
  <c r="B68" i="2"/>
  <c r="B52" i="2"/>
  <c r="B53" i="2"/>
  <c r="B54" i="2"/>
  <c r="B56" i="2"/>
  <c r="B57" i="2"/>
  <c r="B58" i="2"/>
  <c r="B59" i="2"/>
  <c r="B60" i="2"/>
  <c r="B61" i="2"/>
  <c r="B62" i="2"/>
  <c r="B63" i="2"/>
  <c r="B64" i="2"/>
  <c r="B65" i="2"/>
  <c r="B66" i="2"/>
  <c r="B67" i="2"/>
  <c r="R30" i="10" l="1"/>
  <c r="R53" i="10" l="1"/>
  <c r="R52" i="10"/>
  <c r="R51" i="10"/>
  <c r="R50" i="10"/>
  <c r="R49" i="10"/>
  <c r="R48" i="10"/>
  <c r="R47" i="10"/>
  <c r="R46" i="10"/>
  <c r="R45" i="10"/>
  <c r="R44" i="10"/>
  <c r="R43" i="10"/>
  <c r="R42" i="10"/>
  <c r="R41" i="10"/>
  <c r="R40" i="10"/>
  <c r="R39" i="10"/>
  <c r="R38" i="10"/>
  <c r="R37" i="10"/>
  <c r="R36" i="10"/>
  <c r="R35" i="10"/>
  <c r="R34" i="10"/>
  <c r="R33" i="10"/>
  <c r="R32" i="10"/>
  <c r="R31" i="10"/>
  <c r="R29" i="10"/>
  <c r="R28" i="10"/>
  <c r="B9" i="8" s="1"/>
  <c r="R27" i="10"/>
  <c r="R26" i="10"/>
  <c r="R25" i="10"/>
  <c r="R24" i="10"/>
  <c r="R23" i="10"/>
  <c r="R22" i="10"/>
  <c r="R21" i="10"/>
  <c r="R20" i="10"/>
  <c r="R19" i="10"/>
  <c r="R18" i="10"/>
  <c r="R17" i="10"/>
  <c r="R16" i="10"/>
  <c r="R15" i="10"/>
  <c r="R14" i="10"/>
  <c r="R13" i="10"/>
  <c r="R12" i="10"/>
  <c r="R11" i="10"/>
  <c r="R10" i="10"/>
  <c r="R9" i="10"/>
  <c r="R8" i="10"/>
  <c r="R7" i="10"/>
  <c r="R6" i="10"/>
  <c r="P68" i="9"/>
  <c r="P67" i="9"/>
  <c r="P66" i="9"/>
  <c r="P65" i="9"/>
  <c r="P64" i="9"/>
  <c r="P63" i="9"/>
  <c r="P62" i="9"/>
  <c r="P61" i="9"/>
  <c r="P60" i="9"/>
  <c r="P59" i="9"/>
  <c r="P58" i="9"/>
  <c r="P57" i="9"/>
  <c r="P56" i="9"/>
  <c r="P55" i="9"/>
  <c r="P54" i="9"/>
  <c r="P53" i="9"/>
  <c r="P52" i="9"/>
  <c r="P51" i="9"/>
  <c r="P50" i="9"/>
  <c r="P49" i="9"/>
  <c r="P48" i="9"/>
  <c r="P47" i="9"/>
  <c r="P46" i="9"/>
  <c r="P45" i="9"/>
  <c r="P44" i="9"/>
  <c r="P43" i="9"/>
  <c r="P42" i="9"/>
  <c r="P41" i="9"/>
  <c r="P40" i="9"/>
  <c r="P39" i="9"/>
  <c r="P38" i="9"/>
  <c r="P37" i="9"/>
  <c r="B13" i="8" s="1"/>
  <c r="P36" i="9"/>
  <c r="B14" i="8" s="1"/>
  <c r="P35" i="9"/>
  <c r="P34" i="9"/>
  <c r="P33" i="9"/>
  <c r="P32" i="9"/>
  <c r="P31" i="9"/>
  <c r="P30" i="9"/>
  <c r="P29" i="9"/>
  <c r="P28" i="9"/>
  <c r="P27" i="9"/>
  <c r="P26" i="9"/>
  <c r="P25" i="9"/>
  <c r="P24" i="9"/>
  <c r="P23" i="9"/>
  <c r="P22" i="9"/>
  <c r="P21" i="9"/>
  <c r="P20" i="9"/>
  <c r="P19" i="9"/>
  <c r="P18" i="9"/>
  <c r="P17" i="9"/>
  <c r="P16" i="9"/>
  <c r="P15" i="9"/>
  <c r="P14" i="9"/>
  <c r="P13" i="9"/>
  <c r="P12" i="9"/>
  <c r="P11" i="9"/>
  <c r="B5" i="8"/>
  <c r="E15" i="8" s="1"/>
  <c r="B7" i="8"/>
  <c r="I37" i="2"/>
  <c r="I36" i="2"/>
  <c r="I35" i="2"/>
  <c r="I34" i="2"/>
  <c r="I33" i="2"/>
  <c r="I32" i="2"/>
  <c r="I31" i="2"/>
  <c r="I30" i="2"/>
  <c r="I29" i="2"/>
  <c r="I28" i="2"/>
  <c r="I27" i="2"/>
  <c r="I26" i="2"/>
  <c r="I25" i="2"/>
  <c r="I23" i="2"/>
  <c r="I22" i="2"/>
  <c r="I21" i="2"/>
  <c r="F20" i="2"/>
  <c r="D20" i="2"/>
  <c r="E20" i="2"/>
  <c r="I18" i="2"/>
  <c r="I17" i="2"/>
  <c r="I16" i="2"/>
  <c r="I15" i="2"/>
  <c r="I14" i="2"/>
  <c r="I13" i="2"/>
  <c r="F12" i="2"/>
  <c r="D12" i="2"/>
  <c r="E37" i="3"/>
  <c r="E23" i="3"/>
  <c r="F23" i="3"/>
  <c r="G23" i="3"/>
  <c r="H23" i="3"/>
  <c r="I23" i="3"/>
  <c r="J23" i="3"/>
  <c r="E24" i="3"/>
  <c r="F24" i="3"/>
  <c r="G24" i="3"/>
  <c r="H24" i="3"/>
  <c r="I24" i="3"/>
  <c r="J24" i="3"/>
  <c r="E25" i="3"/>
  <c r="F25" i="3"/>
  <c r="G25" i="3"/>
  <c r="H25" i="3"/>
  <c r="I25" i="3"/>
  <c r="J25" i="3"/>
  <c r="D64" i="3"/>
  <c r="D65" i="3"/>
  <c r="D66" i="3"/>
  <c r="D27" i="3" s="1"/>
  <c r="D62" i="3"/>
  <c r="J53" i="3"/>
  <c r="I53" i="3"/>
  <c r="H53" i="3"/>
  <c r="G53" i="3"/>
  <c r="F53" i="3"/>
  <c r="E53" i="3"/>
  <c r="I24" i="25" s="1"/>
  <c r="D56" i="3"/>
  <c r="D48" i="3"/>
  <c r="D47" i="3"/>
  <c r="D46" i="3"/>
  <c r="D45" i="3"/>
  <c r="D44" i="3"/>
  <c r="D43" i="3"/>
  <c r="I42" i="3"/>
  <c r="J61" i="3"/>
  <c r="H61" i="3"/>
  <c r="G61" i="3"/>
  <c r="F61" i="3"/>
  <c r="E61" i="3"/>
  <c r="J42" i="3"/>
  <c r="H42" i="3"/>
  <c r="E42" i="3"/>
  <c r="E12" i="2"/>
  <c r="G12" i="2"/>
  <c r="H12" i="2"/>
  <c r="G20" i="2"/>
  <c r="H20" i="2"/>
  <c r="C20" i="2"/>
  <c r="C12" i="2"/>
  <c r="F42" i="3"/>
  <c r="G42" i="3"/>
  <c r="A3" i="10"/>
  <c r="E7" i="8" l="1"/>
  <c r="F25" i="25"/>
  <c r="I25" i="25" s="1"/>
  <c r="E14" i="8"/>
  <c r="E13" i="8"/>
  <c r="E9" i="8"/>
  <c r="B8" i="8"/>
  <c r="E8" i="8" s="1"/>
  <c r="I12" i="2"/>
  <c r="D24" i="3"/>
  <c r="G32" i="3"/>
  <c r="F32" i="3"/>
  <c r="D43" i="2"/>
  <c r="I20" i="2"/>
  <c r="K34" i="3"/>
  <c r="K32" i="3"/>
  <c r="K33" i="3"/>
  <c r="B12" i="8"/>
  <c r="E12" i="8" s="1"/>
  <c r="G33" i="3"/>
  <c r="E51" i="2"/>
  <c r="D51" i="2"/>
  <c r="G34" i="3"/>
  <c r="F33" i="3"/>
  <c r="I33" i="3"/>
  <c r="H33" i="3"/>
  <c r="D23" i="3"/>
  <c r="D61" i="3"/>
  <c r="E14" i="3" s="1"/>
  <c r="J32" i="3"/>
  <c r="H32" i="3"/>
  <c r="J34" i="3"/>
  <c r="J33" i="3"/>
  <c r="D53" i="3"/>
  <c r="E13" i="3" s="1"/>
  <c r="D42" i="3"/>
  <c r="E12" i="3" s="1"/>
  <c r="H34" i="3"/>
  <c r="F34" i="3"/>
  <c r="F23" i="25" s="1"/>
  <c r="I32" i="3"/>
  <c r="I34" i="3"/>
  <c r="F22" i="25" l="1"/>
  <c r="F9" i="25" s="1"/>
  <c r="F30" i="25" s="1"/>
  <c r="F31" i="25" s="1"/>
  <c r="I23" i="25"/>
  <c r="I22" i="25" s="1"/>
  <c r="I9" i="25" s="1"/>
  <c r="I30" i="25" s="1"/>
  <c r="I31" i="25" s="1"/>
  <c r="B17" i="7"/>
  <c r="B16" i="7"/>
  <c r="C17" i="7"/>
  <c r="F51" i="2"/>
  <c r="E43" i="2"/>
  <c r="F43" i="2"/>
  <c r="F32" i="25" l="1"/>
  <c r="I32" i="25"/>
  <c r="D16" i="7"/>
  <c r="C16" i="7"/>
  <c r="D17" i="7"/>
  <c r="G51" i="2"/>
  <c r="H51" i="2"/>
  <c r="G43" i="2"/>
  <c r="H43" i="2"/>
  <c r="F17" i="7" l="1"/>
  <c r="E17" i="7"/>
  <c r="E16" i="7"/>
  <c r="F16" i="7"/>
  <c r="H71" i="3"/>
  <c r="G71" i="3"/>
  <c r="I71" i="3"/>
  <c r="H26" i="3"/>
  <c r="H28" i="3" s="1"/>
  <c r="G26" i="3"/>
  <c r="G28" i="3" s="1"/>
  <c r="F26" i="3"/>
  <c r="F28" i="3" s="1"/>
  <c r="I26" i="3"/>
  <c r="I28" i="3" s="1"/>
  <c r="J26" i="3"/>
  <c r="J28" i="3" s="1"/>
  <c r="D75" i="3"/>
  <c r="D76" i="3"/>
  <c r="D73" i="3"/>
  <c r="D74" i="3"/>
  <c r="D72" i="3"/>
  <c r="E26" i="3"/>
  <c r="F35" i="3" s="1"/>
  <c r="F37" i="3" s="1"/>
  <c r="D71" i="3" l="1"/>
  <c r="E15" i="3" s="1"/>
  <c r="E17" i="3" s="1"/>
  <c r="F7" i="25" s="1"/>
  <c r="D25" i="3"/>
  <c r="D26" i="3"/>
  <c r="I7" i="25"/>
  <c r="H35" i="3"/>
  <c r="H37" i="3" s="1"/>
  <c r="C24" i="7" s="1"/>
  <c r="J35" i="3"/>
  <c r="J37" i="3" s="1"/>
  <c r="E24" i="7" s="1"/>
  <c r="E26" i="7" s="1"/>
  <c r="E35" i="7" s="1"/>
  <c r="I35" i="3"/>
  <c r="I37" i="3" s="1"/>
  <c r="D24" i="7" s="1"/>
  <c r="K35" i="3"/>
  <c r="K37" i="3" s="1"/>
  <c r="F24" i="7" s="1"/>
  <c r="E28" i="3"/>
  <c r="G35" i="3"/>
  <c r="G37" i="3" s="1"/>
  <c r="B24" i="7" s="1"/>
  <c r="B26" i="7" s="1"/>
  <c r="B35" i="7" l="1"/>
  <c r="B37" i="7" s="1"/>
  <c r="C26" i="7"/>
  <c r="F26" i="7"/>
  <c r="D26" i="7"/>
  <c r="E37" i="7"/>
  <c r="D28" i="3"/>
  <c r="D10" i="7" s="1"/>
  <c r="D75" i="15" s="1"/>
  <c r="D35" i="7" l="1"/>
  <c r="D37" i="7" s="1"/>
  <c r="C35" i="7"/>
  <c r="C37" i="7" s="1"/>
  <c r="F35" i="7"/>
  <c r="F37" i="7" s="1"/>
  <c r="E18" i="3"/>
  <c r="E46" i="7"/>
  <c r="E48" i="7" s="1"/>
  <c r="I83" i="15" s="1"/>
  <c r="B46" i="7"/>
  <c r="F81" i="15"/>
  <c r="I81" i="15"/>
  <c r="F46" i="7" l="1"/>
  <c r="J82" i="15" s="1"/>
  <c r="J81" i="15"/>
  <c r="C46" i="7"/>
  <c r="C59" i="7" s="1"/>
  <c r="G81" i="15"/>
  <c r="D46" i="7"/>
  <c r="H82" i="15" s="1"/>
  <c r="H81" i="15"/>
  <c r="I82" i="15"/>
  <c r="E59" i="7"/>
  <c r="F82" i="15"/>
  <c r="B48" i="7"/>
  <c r="F83" i="15" s="1"/>
  <c r="B59" i="7"/>
  <c r="D59" i="7"/>
  <c r="F59" i="7"/>
  <c r="F48" i="7"/>
  <c r="J83" i="15" s="1"/>
  <c r="C48" i="7"/>
  <c r="G83" i="15" s="1"/>
  <c r="D48" i="7" l="1"/>
  <c r="H83" i="15" s="1"/>
  <c r="G82"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Chen Patrick OFIAAABA</author>
    <author>MURIEL PAYET</author>
  </authors>
  <commentList>
    <comment ref="B13" authorId="0" shapeId="0" xr:uid="{00000000-0006-0000-0300-000001000000}">
      <text>
        <r>
          <rPr>
            <b/>
            <sz val="9"/>
            <color rgb="FF000000"/>
            <rFont val="Tahoma"/>
            <family val="2"/>
          </rPr>
          <t>Chen Patrick OFIAAABA:</t>
        </r>
        <r>
          <rPr>
            <sz val="9"/>
            <color rgb="FF000000"/>
            <rFont val="Tahoma"/>
            <family val="2"/>
          </rPr>
          <t xml:space="preserve">
</t>
        </r>
        <r>
          <rPr>
            <sz val="9"/>
            <color rgb="FF000000"/>
            <rFont val="Tahoma"/>
            <family val="2"/>
          </rPr>
          <t>1ère année activité en année pleine</t>
        </r>
      </text>
    </comment>
    <comment ref="A39" authorId="1" shapeId="0" xr:uid="{00000000-0006-0000-0300-000002000000}">
      <text>
        <r>
          <rPr>
            <b/>
            <sz val="9"/>
            <color rgb="FF000000"/>
            <rFont val="Tahoma"/>
            <family val="2"/>
          </rPr>
          <t>MURIEL PAYET:</t>
        </r>
        <r>
          <rPr>
            <sz val="9"/>
            <color rgb="FF000000"/>
            <rFont val="Tahoma"/>
            <family val="2"/>
          </rPr>
          <t xml:space="preserve">
</t>
        </r>
        <r>
          <rPr>
            <sz val="9"/>
            <color rgb="FF000000"/>
            <rFont val="Tahoma"/>
            <family val="2"/>
          </rPr>
          <t xml:space="preserve">reprise du montant du recap financier NGS (et pas celui de l'onglet "Activités Recettes")
</t>
        </r>
      </text>
    </comment>
    <comment ref="A51" authorId="1" shapeId="0" xr:uid="{00000000-0006-0000-0300-000003000000}">
      <text>
        <r>
          <rPr>
            <b/>
            <sz val="9"/>
            <color rgb="FF000000"/>
            <rFont val="Tahoma"/>
            <family val="2"/>
          </rPr>
          <t>MURIEL PAYET:</t>
        </r>
        <r>
          <rPr>
            <sz val="9"/>
            <color rgb="FF000000"/>
            <rFont val="Tahoma"/>
            <family val="2"/>
          </rPr>
          <t xml:space="preserve">
</t>
        </r>
        <r>
          <rPr>
            <sz val="9"/>
            <color rgb="FF000000"/>
            <rFont val="Tahoma"/>
            <family val="2"/>
          </rPr>
          <t>Cout RIHN (déclaration FICHSUP)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Chen Patrick OFIAAABA</author>
    <author>FRANCOIS AGAISE</author>
    <author>MURIEL PAYET</author>
  </authors>
  <commentList>
    <comment ref="A27" authorId="0" shapeId="0" xr:uid="{00000000-0006-0000-0500-000001000000}">
      <text>
        <r>
          <rPr>
            <b/>
            <sz val="9"/>
            <color indexed="81"/>
            <rFont val="Tahoma"/>
            <family val="2"/>
          </rPr>
          <t>Chen Patrick OFIAAABA:</t>
        </r>
        <r>
          <rPr>
            <sz val="9"/>
            <color indexed="81"/>
            <rFont val="Tahoma"/>
            <family val="2"/>
          </rPr>
          <t xml:space="preserve">
</t>
        </r>
      </text>
    </comment>
    <comment ref="C28" authorId="1" shapeId="0" xr:uid="{00000000-0006-0000-0500-000002000000}">
      <text>
        <r>
          <rPr>
            <b/>
            <sz val="9"/>
            <color indexed="81"/>
            <rFont val="Tahoma"/>
            <family val="2"/>
          </rPr>
          <t>FRANCOIS AGAISE:</t>
        </r>
        <r>
          <rPr>
            <sz val="9"/>
            <color indexed="81"/>
            <rFont val="Tahoma"/>
            <family val="2"/>
          </rPr>
          <t xml:space="preserve">
source TB CDG</t>
        </r>
      </text>
    </comment>
    <comment ref="C29" authorId="1" shapeId="0" xr:uid="{00000000-0006-0000-0500-000003000000}">
      <text>
        <r>
          <rPr>
            <b/>
            <sz val="9"/>
            <color indexed="81"/>
            <rFont val="Tahoma"/>
            <family val="2"/>
          </rPr>
          <t>FRANCOIS AGAISE:</t>
        </r>
        <r>
          <rPr>
            <sz val="9"/>
            <color indexed="81"/>
            <rFont val="Tahoma"/>
            <family val="2"/>
          </rPr>
          <t xml:space="preserve">
fonctionnement sur 5J du fait du manque d'AS</t>
        </r>
      </text>
    </comment>
    <comment ref="D29" authorId="1" shapeId="0" xr:uid="{00000000-0006-0000-0500-000004000000}">
      <text>
        <r>
          <rPr>
            <b/>
            <sz val="9"/>
            <color indexed="81"/>
            <rFont val="Tahoma"/>
            <family val="2"/>
          </rPr>
          <t>FRANCOIS AGAISE:</t>
        </r>
        <r>
          <rPr>
            <sz val="9"/>
            <color indexed="81"/>
            <rFont val="Tahoma"/>
            <family val="2"/>
          </rPr>
          <t xml:space="preserve">
les 3 AS marginaux permettent de viser un fonctionnement en HC avec 1 TO cible de 90%</t>
        </r>
      </text>
    </comment>
    <comment ref="P35" authorId="2" shapeId="0" xr:uid="{00000000-0006-0000-0500-000005000000}">
      <text>
        <r>
          <rPr>
            <b/>
            <sz val="9"/>
            <color indexed="81"/>
            <rFont val="Tahoma"/>
            <family val="2"/>
          </rPr>
          <t>MURIEL PAYET:</t>
        </r>
        <r>
          <rPr>
            <sz val="9"/>
            <color indexed="81"/>
            <rFont val="Tahoma"/>
            <family val="2"/>
          </rPr>
          <t xml:space="preserve">
déclaration FICHSUP et activités</t>
        </r>
      </text>
    </comment>
    <comment ref="C60" authorId="1" shapeId="0" xr:uid="{00000000-0006-0000-0500-000006000000}">
      <text>
        <r>
          <rPr>
            <b/>
            <sz val="9"/>
            <color indexed="81"/>
            <rFont val="Tahoma"/>
            <family val="2"/>
          </rPr>
          <t>FRANCOIS AGAISE:</t>
        </r>
        <r>
          <rPr>
            <sz val="9"/>
            <color indexed="81"/>
            <rFont val="Tahoma"/>
            <family val="2"/>
          </rPr>
          <t xml:space="preserve">
source TB CDG</t>
        </r>
      </text>
    </comment>
    <comment ref="C69" authorId="0" shapeId="0" xr:uid="{00000000-0006-0000-0500-000007000000}">
      <text>
        <r>
          <rPr>
            <b/>
            <sz val="9"/>
            <color indexed="81"/>
            <rFont val="Tahoma"/>
            <family val="2"/>
          </rPr>
          <t>Chen Patrick OFIAAABA:</t>
        </r>
        <r>
          <rPr>
            <sz val="9"/>
            <color indexed="81"/>
            <rFont val="Tahoma"/>
            <family val="2"/>
          </rPr>
          <t xml:space="preserve">
Choisir entre Recette Moyenne par Rum ou Tarif GHS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FRANCOIS AGAISE</author>
  </authors>
  <commentList>
    <comment ref="D10" authorId="0" shapeId="0" xr:uid="{00000000-0006-0000-0600-000001000000}">
      <text>
        <r>
          <rPr>
            <b/>
            <sz val="9"/>
            <color indexed="81"/>
            <rFont val="Tahoma"/>
            <family val="2"/>
          </rPr>
          <t>FRANCOIS AGAISE:</t>
        </r>
        <r>
          <rPr>
            <sz val="9"/>
            <color indexed="81"/>
            <rFont val="Tahoma"/>
            <family val="2"/>
          </rPr>
          <t xml:space="preserve">
source service
base recommandations ABM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Chen Patrick OFIAAABA</author>
  </authors>
  <commentList>
    <comment ref="A40" authorId="0" shapeId="0" xr:uid="{00000000-0006-0000-0A00-000001000000}">
      <text>
        <r>
          <rPr>
            <b/>
            <sz val="9"/>
            <color indexed="81"/>
            <rFont val="Tahoma"/>
            <family val="2"/>
          </rPr>
          <t>Chen Patrick OFIAAABA:</t>
        </r>
        <r>
          <rPr>
            <sz val="9"/>
            <color indexed="81"/>
            <rFont val="Tahoma"/>
            <family val="2"/>
          </rPr>
          <t xml:space="preserve">
HC:2 repas/jr
HJ-Séances: 1 repas/jr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Chen Patrick OFIAAABA</author>
  </authors>
  <commentList>
    <comment ref="B16" authorId="0" shapeId="0" xr:uid="{00000000-0006-0000-0B00-000001000000}">
      <text>
        <r>
          <rPr>
            <b/>
            <sz val="9"/>
            <color indexed="81"/>
            <rFont val="Tahoma"/>
            <family val="2"/>
          </rPr>
          <t>Chen Patrick OFIAAABA:</t>
        </r>
        <r>
          <rPr>
            <sz val="9"/>
            <color indexed="81"/>
            <rFont val="Tahoma"/>
            <family val="2"/>
          </rPr>
          <t xml:space="preserve">
1ère année activité en année pleine</t>
        </r>
      </text>
    </comment>
    <comment ref="B29" authorId="0" shapeId="0" xr:uid="{00000000-0006-0000-0B00-000002000000}">
      <text>
        <r>
          <rPr>
            <b/>
            <sz val="9"/>
            <color indexed="81"/>
            <rFont val="Tahoma"/>
            <family val="2"/>
          </rPr>
          <t>Chen Patrick OFIAAABA:</t>
        </r>
        <r>
          <rPr>
            <sz val="9"/>
            <color indexed="81"/>
            <rFont val="Tahoma"/>
            <family val="2"/>
          </rPr>
          <t xml:space="preserve">
1ère année activité en année pleine</t>
        </r>
      </text>
    </comment>
    <comment ref="B42" authorId="0" shapeId="0" xr:uid="{00000000-0006-0000-0B00-000003000000}">
      <text>
        <r>
          <rPr>
            <b/>
            <sz val="9"/>
            <color indexed="81"/>
            <rFont val="Tahoma"/>
            <family val="2"/>
          </rPr>
          <t>Chen Patrick OFIAAABA:</t>
        </r>
        <r>
          <rPr>
            <sz val="9"/>
            <color indexed="81"/>
            <rFont val="Tahoma"/>
            <family val="2"/>
          </rPr>
          <t xml:space="preserve">
1ère année activité en année pleine</t>
        </r>
      </text>
    </comment>
    <comment ref="B55" authorId="0" shapeId="0" xr:uid="{00000000-0006-0000-0B00-000004000000}">
      <text>
        <r>
          <rPr>
            <b/>
            <sz val="9"/>
            <color indexed="81"/>
            <rFont val="Tahoma"/>
            <family val="2"/>
          </rPr>
          <t>Chen Patrick OFIAAABA:</t>
        </r>
        <r>
          <rPr>
            <sz val="9"/>
            <color indexed="81"/>
            <rFont val="Tahoma"/>
            <family val="2"/>
          </rPr>
          <t xml:space="preserve">
1ère année activité en année pleine</t>
        </r>
      </text>
    </comment>
    <comment ref="B68" authorId="0" shapeId="0" xr:uid="{00000000-0006-0000-0B00-000005000000}">
      <text>
        <r>
          <rPr>
            <b/>
            <sz val="9"/>
            <color indexed="81"/>
            <rFont val="Tahoma"/>
            <family val="2"/>
          </rPr>
          <t>Chen Patrick OFIAAABA:</t>
        </r>
        <r>
          <rPr>
            <sz val="9"/>
            <color indexed="81"/>
            <rFont val="Tahoma"/>
            <family val="2"/>
          </rPr>
          <t xml:space="preserve">
1ère année activité en année pleine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MURIEL PAYET</author>
    <author>LECARDEZ Marc</author>
  </authors>
  <commentList>
    <comment ref="C16" authorId="0" shapeId="0" xr:uid="{00000000-0006-0000-0D00-000001000000}">
      <text>
        <r>
          <rPr>
            <b/>
            <sz val="9"/>
            <color indexed="81"/>
            <rFont val="Tahoma"/>
            <family val="2"/>
          </rPr>
          <t>MURIEL PAYET:</t>
        </r>
        <r>
          <rPr>
            <sz val="9"/>
            <color indexed="81"/>
            <rFont val="Tahoma"/>
            <family val="2"/>
          </rPr>
          <t xml:space="preserve">
declaration fic sup
</t>
        </r>
      </text>
    </comment>
    <comment ref="D16" authorId="0" shapeId="0" xr:uid="{00000000-0006-0000-0D00-000002000000}">
      <text>
        <r>
          <rPr>
            <b/>
            <sz val="9"/>
            <color indexed="81"/>
            <rFont val="Tahoma"/>
            <family val="2"/>
          </rPr>
          <t>MURIEL PAYET:</t>
        </r>
        <r>
          <rPr>
            <sz val="9"/>
            <color indexed="81"/>
            <rFont val="Tahoma"/>
            <family val="2"/>
          </rPr>
          <t xml:space="preserve">
declaration fic sup
</t>
        </r>
      </text>
    </comment>
    <comment ref="F16" authorId="0" shapeId="0" xr:uid="{00000000-0006-0000-0D00-000003000000}">
      <text>
        <r>
          <rPr>
            <b/>
            <sz val="9"/>
            <color indexed="81"/>
            <rFont val="Tahoma"/>
            <family val="2"/>
          </rPr>
          <t>MURIEL PAYET:</t>
        </r>
        <r>
          <rPr>
            <sz val="9"/>
            <color indexed="81"/>
            <rFont val="Tahoma"/>
            <family val="2"/>
          </rPr>
          <t xml:space="preserve">
total des dépenses des analyses envoyées en métropole 805397€
</t>
        </r>
      </text>
    </comment>
    <comment ref="I16" authorId="0" shapeId="0" xr:uid="{00000000-0006-0000-0D00-000004000000}">
      <text>
        <r>
          <rPr>
            <b/>
            <sz val="9"/>
            <color indexed="81"/>
            <rFont val="Tahoma"/>
            <family val="2"/>
          </rPr>
          <t>MURIEL PAYET:</t>
        </r>
        <r>
          <rPr>
            <sz val="9"/>
            <color indexed="81"/>
            <rFont val="Tahoma"/>
            <family val="2"/>
          </rPr>
          <t xml:space="preserve">
total des dépenses des analyses envoyées en métropole 805397€
</t>
        </r>
      </text>
    </comment>
    <comment ref="F27" authorId="0" shapeId="0" xr:uid="{00000000-0006-0000-0D00-000005000000}">
      <text>
        <r>
          <rPr>
            <b/>
            <sz val="9"/>
            <color indexed="81"/>
            <rFont val="Tahoma"/>
            <family val="2"/>
          </rPr>
          <t>MURIEL PAYET:</t>
        </r>
        <r>
          <rPr>
            <sz val="9"/>
            <color indexed="81"/>
            <rFont val="Tahoma"/>
            <family val="2"/>
          </rPr>
          <t xml:space="preserve">
recuperation 50% recettes FICHSUP</t>
        </r>
      </text>
    </comment>
    <comment ref="I27" authorId="0" shapeId="0" xr:uid="{00000000-0006-0000-0D00-000006000000}">
      <text>
        <r>
          <rPr>
            <b/>
            <sz val="9"/>
            <color indexed="81"/>
            <rFont val="Tahoma"/>
            <family val="2"/>
          </rPr>
          <t>MURIEL PAYET:</t>
        </r>
        <r>
          <rPr>
            <sz val="9"/>
            <color indexed="81"/>
            <rFont val="Tahoma"/>
            <family val="2"/>
          </rPr>
          <t xml:space="preserve">
recuperation 50% recettes FICHSUP</t>
        </r>
      </text>
    </comment>
    <comment ref="B35" authorId="1" shapeId="0" xr:uid="{00000000-0006-0000-0D00-000007000000}">
      <text>
        <r>
          <rPr>
            <b/>
            <sz val="9"/>
            <color indexed="81"/>
            <rFont val="Tahoma"/>
            <family val="2"/>
          </rPr>
          <t>LECARDEZ Marc:</t>
        </r>
        <r>
          <rPr>
            <sz val="9"/>
            <color indexed="81"/>
            <rFont val="Tahoma"/>
            <family val="2"/>
          </rPr>
          <t xml:space="preserve">
Pour garantir ces recettes il est impératif de s'assurer des règles de financemùent actuelles de ces actes RIHN. Ils ont maintenant une cotation officielle mais pour autant la "simple déclaration" de ce qui est réalisé suffit-elle à en garantir le paiement ?</t>
        </r>
      </text>
    </comment>
    <comment ref="F36" authorId="0" shapeId="0" xr:uid="{00000000-0006-0000-0D00-000008000000}">
      <text>
        <r>
          <rPr>
            <b/>
            <sz val="9"/>
            <color indexed="81"/>
            <rFont val="Tahoma"/>
            <family val="2"/>
          </rPr>
          <t>MURIEL PAYET:</t>
        </r>
        <r>
          <rPr>
            <sz val="9"/>
            <color indexed="81"/>
            <rFont val="Tahoma"/>
            <family val="2"/>
          </rPr>
          <t xml:space="preserve">
total des dépenses envoyees en Métropole</t>
        </r>
      </text>
    </comment>
    <comment ref="I36" authorId="0" shapeId="0" xr:uid="{00000000-0006-0000-0D00-000009000000}">
      <text>
        <r>
          <rPr>
            <b/>
            <sz val="9"/>
            <color indexed="81"/>
            <rFont val="Tahoma"/>
            <family val="2"/>
          </rPr>
          <t>MURIEL PAYET:</t>
        </r>
        <r>
          <rPr>
            <sz val="9"/>
            <color indexed="81"/>
            <rFont val="Tahoma"/>
            <family val="2"/>
          </rPr>
          <t xml:space="preserve">
total des dépenses envoyees en Métropole</t>
        </r>
      </text>
    </comment>
    <comment ref="F42" authorId="0" shapeId="0" xr:uid="{00000000-0006-0000-0D00-00000A000000}">
      <text>
        <r>
          <rPr>
            <b/>
            <sz val="9"/>
            <color indexed="81"/>
            <rFont val="Tahoma"/>
            <family val="2"/>
          </rPr>
          <t>MURIEL PAYET:</t>
        </r>
        <r>
          <rPr>
            <sz val="9"/>
            <color indexed="81"/>
            <rFont val="Tahoma"/>
            <family val="2"/>
          </rPr>
          <t xml:space="preserve">
par cible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Chen Patrick OFIAAABA</author>
  </authors>
  <commentList>
    <comment ref="A9" authorId="0" shapeId="0" xr:uid="{00000000-0006-0000-1B00-000001000000}">
      <text>
        <r>
          <rPr>
            <b/>
            <sz val="9"/>
            <color indexed="81"/>
            <rFont val="Tahoma"/>
            <family val="2"/>
          </rPr>
          <t>Calculée avec succès le 03/12/2020 14:02:42</t>
        </r>
      </text>
    </comment>
    <comment ref="A73" authorId="0" shapeId="0" xr:uid="{00000000-0006-0000-1B00-000002000000}">
      <text>
        <r>
          <rPr>
            <b/>
            <sz val="9"/>
            <color indexed="81"/>
            <rFont val="Tahoma"/>
            <family val="2"/>
          </rPr>
          <t>Calculée avec succès le 18/12/2020 10:25:03</t>
        </r>
      </text>
    </comment>
    <comment ref="A128" authorId="0" shapeId="0" xr:uid="{00000000-0006-0000-1B00-000003000000}">
      <text>
        <r>
          <rPr>
            <b/>
            <sz val="9"/>
            <color indexed="81"/>
            <rFont val="Tahoma"/>
            <family val="2"/>
          </rPr>
          <t>Calculée avec succès le 18/12/2020 12:57:38</t>
        </r>
      </text>
    </comment>
    <comment ref="A191" authorId="0" shapeId="0" xr:uid="{00000000-0006-0000-1B00-000004000000}">
      <text>
        <r>
          <rPr>
            <b/>
            <sz val="9"/>
            <color indexed="81"/>
            <rFont val="Tahoma"/>
            <family val="2"/>
          </rPr>
          <t>Calculée avec succès le 18/12/2020 13:02:15</t>
        </r>
      </text>
    </comment>
    <comment ref="D191" authorId="0" shapeId="0" xr:uid="{00000000-0006-0000-1B00-000005000000}">
      <text>
        <r>
          <rPr>
            <b/>
            <sz val="9"/>
            <color indexed="81"/>
            <rFont val="Tahoma"/>
            <family val="2"/>
          </rPr>
          <t>Calculée avec succès le 18/12/2020 13:16:37</t>
        </r>
      </text>
    </comment>
    <comment ref="B201" authorId="0" shapeId="0" xr:uid="{00000000-0006-0000-1B00-000006000000}">
      <text>
        <r>
          <rPr>
            <b/>
            <sz val="9"/>
            <color indexed="81"/>
            <rFont val="Tahoma"/>
            <family val="2"/>
          </rPr>
          <t>Calculée avec succès le 18/12/2020 13:25:38</t>
        </r>
      </text>
    </comment>
    <comment ref="C201" authorId="0" shapeId="0" xr:uid="{00000000-0006-0000-1B00-000007000000}">
      <text>
        <r>
          <rPr>
            <b/>
            <sz val="9"/>
            <color indexed="81"/>
            <rFont val="Tahoma"/>
            <family val="2"/>
          </rPr>
          <t>Calculée avec succès le 18/12/2020 13:26:52</t>
        </r>
      </text>
    </comment>
    <comment ref="D201" authorId="0" shapeId="0" xr:uid="{00000000-0006-0000-1B00-000008000000}">
      <text>
        <r>
          <rPr>
            <b/>
            <sz val="9"/>
            <color indexed="81"/>
            <rFont val="Tahoma"/>
            <family val="2"/>
          </rPr>
          <t>Calculée avec succès le 18/12/2020 13:27:55</t>
        </r>
      </text>
    </comment>
    <comment ref="B202" authorId="0" shapeId="0" xr:uid="{00000000-0006-0000-1B00-000009000000}">
      <text>
        <r>
          <rPr>
            <b/>
            <sz val="9"/>
            <color indexed="81"/>
            <rFont val="Tahoma"/>
            <family val="2"/>
          </rPr>
          <t>Calculée avec succès le 18/12/2020 13:25:25</t>
        </r>
      </text>
    </comment>
    <comment ref="C202" authorId="0" shapeId="0" xr:uid="{00000000-0006-0000-1B00-00000A000000}">
      <text>
        <r>
          <rPr>
            <b/>
            <sz val="9"/>
            <color indexed="81"/>
            <rFont val="Tahoma"/>
            <family val="2"/>
          </rPr>
          <t>Calculée avec succès le 18/12/2020 13:26:37</t>
        </r>
      </text>
    </comment>
    <comment ref="D202" authorId="0" shapeId="0" xr:uid="{00000000-0006-0000-1B00-00000B000000}">
      <text>
        <r>
          <rPr>
            <b/>
            <sz val="9"/>
            <color indexed="81"/>
            <rFont val="Tahoma"/>
            <family val="2"/>
          </rPr>
          <t>Calculée avec succès le 18/12/2020 13:27:39</t>
        </r>
      </text>
    </comment>
    <comment ref="B203" authorId="0" shapeId="0" xr:uid="{00000000-0006-0000-1B00-00000C000000}">
      <text>
        <r>
          <rPr>
            <b/>
            <sz val="9"/>
            <color indexed="81"/>
            <rFont val="Tahoma"/>
            <family val="2"/>
          </rPr>
          <t>Calculée avec succès le 18/12/2020 13:25:32</t>
        </r>
      </text>
    </comment>
    <comment ref="C203" authorId="0" shapeId="0" xr:uid="{00000000-0006-0000-1B00-00000D000000}">
      <text>
        <r>
          <rPr>
            <b/>
            <sz val="9"/>
            <color indexed="81"/>
            <rFont val="Tahoma"/>
            <family val="2"/>
          </rPr>
          <t>Calculée avec succès le 18/12/2020 13:26:45</t>
        </r>
      </text>
    </comment>
    <comment ref="D203" authorId="0" shapeId="0" xr:uid="{00000000-0006-0000-1B00-00000E000000}">
      <text>
        <r>
          <rPr>
            <b/>
            <sz val="9"/>
            <color indexed="81"/>
            <rFont val="Tahoma"/>
            <family val="2"/>
          </rPr>
          <t>Calculée avec succès le 18/12/2020 13:27:49</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Chen Patrick OFIAAABA</author>
  </authors>
  <commentList>
    <comment ref="A3" authorId="0" shapeId="0" xr:uid="{00000000-0006-0000-1C00-000001000000}">
      <text>
        <r>
          <rPr>
            <b/>
            <sz val="9"/>
            <color indexed="81"/>
            <rFont val="Tahoma"/>
            <family val="2"/>
          </rPr>
          <t>Calculée avec succès le 10/12/2020 10:18:38</t>
        </r>
      </text>
    </comment>
  </commentList>
</comments>
</file>

<file path=xl/sharedStrings.xml><?xml version="1.0" encoding="utf-8"?>
<sst xmlns="http://schemas.openxmlformats.org/spreadsheetml/2006/main" count="2229" uniqueCount="1352">
  <si>
    <t>Actuel</t>
  </si>
  <si>
    <t>8255</t>
  </si>
  <si>
    <t>8241</t>
  </si>
  <si>
    <t>P Hémato UPPA</t>
  </si>
  <si>
    <t>P Hémato HJ</t>
  </si>
  <si>
    <t>GHM</t>
  </si>
  <si>
    <t>Nombre de Cs</t>
  </si>
  <si>
    <t>Recettes Marginales</t>
  </si>
  <si>
    <t>CS + MCS</t>
  </si>
  <si>
    <t>Total Recettes d'activité marginales</t>
  </si>
  <si>
    <t>Personnel médical</t>
  </si>
  <si>
    <t>Personnel non médical</t>
  </si>
  <si>
    <t>Situation actuelle</t>
  </si>
  <si>
    <t>Coût RH Marginal</t>
  </si>
  <si>
    <t>Coût moyen</t>
  </si>
  <si>
    <t>Nombre</t>
  </si>
  <si>
    <t>Montant TTC</t>
  </si>
  <si>
    <t>TOTAL Travaux et aménagements</t>
  </si>
  <si>
    <t>nombre</t>
  </si>
  <si>
    <t>TOTAL équipements hôteliers</t>
  </si>
  <si>
    <t>TOTAL Informatique</t>
  </si>
  <si>
    <t>Durée Amort</t>
  </si>
  <si>
    <t>TOTAL Equipement biomédical</t>
  </si>
  <si>
    <t>durée
 amort</t>
  </si>
  <si>
    <t>Valorisation investissement Biomédical</t>
  </si>
  <si>
    <t>Valorisation invetissement équipements hoteliers</t>
  </si>
  <si>
    <t>Valorisation investissement Travaux</t>
  </si>
  <si>
    <t>Valorisation invetissement informatique</t>
  </si>
  <si>
    <t>TOTAL</t>
  </si>
  <si>
    <t>Dotation amortissements</t>
  </si>
  <si>
    <t>Charges directes</t>
  </si>
  <si>
    <t>Recettes Cs</t>
  </si>
  <si>
    <t>Médicaments et DM inclus dans tarifs</t>
  </si>
  <si>
    <t>Médicaments et DM en sus</t>
  </si>
  <si>
    <t>MDT labo B</t>
  </si>
  <si>
    <t>MDT labo RIHN</t>
  </si>
  <si>
    <t>MDT labo hors liste</t>
  </si>
  <si>
    <t>Investissement global</t>
  </si>
  <si>
    <t>Pers Med</t>
  </si>
  <si>
    <t>Pers Non Med</t>
  </si>
  <si>
    <t>Dep Hotel et generales</t>
  </si>
  <si>
    <t>Dep amort</t>
  </si>
  <si>
    <t>Imagerie</t>
  </si>
  <si>
    <t>Blanchisserie</t>
  </si>
  <si>
    <t>Dépenses marginales</t>
  </si>
  <si>
    <t>Recettes externes</t>
  </si>
  <si>
    <t>Recettes marginales</t>
  </si>
  <si>
    <t>Résultat marginal</t>
  </si>
  <si>
    <t>Aide à l'invetsissement</t>
  </si>
  <si>
    <t>TOTAL MARGINAL</t>
  </si>
  <si>
    <t>Investissements critiques pour le démarrage de l'activité</t>
  </si>
  <si>
    <t>informatique</t>
  </si>
  <si>
    <t>biomed</t>
  </si>
  <si>
    <t>hotelier</t>
  </si>
  <si>
    <t>Dépenses Hémato Onco HC par jour (source CREA 2018)</t>
  </si>
  <si>
    <t>Activité</t>
  </si>
  <si>
    <t>8240</t>
  </si>
  <si>
    <t>8282</t>
  </si>
  <si>
    <t>P Hémato-Onco HC</t>
  </si>
  <si>
    <t>P Hémato 3 HC</t>
  </si>
  <si>
    <t>Dép par Jour</t>
  </si>
  <si>
    <t>Nb journées 2018</t>
  </si>
  <si>
    <t>Dépenses T2</t>
  </si>
  <si>
    <t>Dépenses MT</t>
  </si>
  <si>
    <t>MDT radiologie &amp; EF</t>
  </si>
  <si>
    <t>8040</t>
  </si>
  <si>
    <t>8243</t>
  </si>
  <si>
    <t>8244</t>
  </si>
  <si>
    <t>8248</t>
  </si>
  <si>
    <t>8249</t>
  </si>
  <si>
    <t>8280</t>
  </si>
  <si>
    <t>8281</t>
  </si>
  <si>
    <t>8283</t>
  </si>
  <si>
    <t>8284</t>
  </si>
  <si>
    <t>SC</t>
  </si>
  <si>
    <t>P Hémato-Onco Cs</t>
  </si>
  <si>
    <t>P Hémato-Onco HJ</t>
  </si>
  <si>
    <t>P Hémato-Onco Séances</t>
  </si>
  <si>
    <t>P Hémato HC</t>
  </si>
  <si>
    <t>P Hémato Soins Intensifs</t>
  </si>
  <si>
    <t>P Onco HC</t>
  </si>
  <si>
    <t>P Onco HJ</t>
  </si>
  <si>
    <t>P Hémato Séance</t>
  </si>
  <si>
    <t>P Onco Séance</t>
  </si>
  <si>
    <t>Total</t>
  </si>
  <si>
    <t>Hemato Onco HC</t>
  </si>
  <si>
    <t>Adm Gle</t>
  </si>
  <si>
    <t>Adm Gle Instit</t>
  </si>
  <si>
    <t>Adm Personnel</t>
  </si>
  <si>
    <t>Adm Personnel Instit</t>
  </si>
  <si>
    <t>D Autres exHN-BiolBioch</t>
  </si>
  <si>
    <t>D Autres exHN-HLA</t>
  </si>
  <si>
    <t>D B -BiolBioch</t>
  </si>
  <si>
    <t>D B-HLA</t>
  </si>
  <si>
    <t>D Med Nucl Hosp</t>
  </si>
  <si>
    <t>D Pharmacie</t>
  </si>
  <si>
    <t>D TEP Hosp</t>
  </si>
  <si>
    <t>Dir Qualité</t>
  </si>
  <si>
    <t>DRI</t>
  </si>
  <si>
    <t>DSIO</t>
  </si>
  <si>
    <t>HS MAD</t>
  </si>
  <si>
    <t>P ANAP Autres ExHN</t>
  </si>
  <si>
    <t>P ANAP CCAM</t>
  </si>
  <si>
    <t>P BANQUE SANG</t>
  </si>
  <si>
    <t>P CNI</t>
  </si>
  <si>
    <t>P Im Echo Hosp</t>
  </si>
  <si>
    <t>P Im IRM Hosp</t>
  </si>
  <si>
    <t>P Im Radio Géné Hosp</t>
  </si>
  <si>
    <t>P Im Scan Hosp</t>
  </si>
  <si>
    <t>P Im Vasc Hosp</t>
  </si>
  <si>
    <t>P Imagerie ST</t>
  </si>
  <si>
    <t>P Labo Autres ExHN</t>
  </si>
  <si>
    <t>P Labo B</t>
  </si>
  <si>
    <t>P LGG - BLANCHISSERIE</t>
  </si>
  <si>
    <t>P LGG - DIM</t>
  </si>
  <si>
    <t>P LGG - ENT MAINTENANCE</t>
  </si>
  <si>
    <t>P LGG - GEST MALADES - ACCUEIL et GESTION</t>
  </si>
  <si>
    <t>P LGG - SERV HOTELIERS - INDIFFERENCIES</t>
  </si>
  <si>
    <t>P LGG - TRANSPORTS MOTORISES PATIENTS</t>
  </si>
  <si>
    <t>P LGG -RESTAURATION</t>
  </si>
  <si>
    <t>P LM - BIO-MEDICAL</t>
  </si>
  <si>
    <t>P LM - HEMOVIGILANCE</t>
  </si>
  <si>
    <t>P LM - HYGIENE HOSPITALIERE</t>
  </si>
  <si>
    <t>P LM - PHARMACIE</t>
  </si>
  <si>
    <t>P LM - PREP NON STE</t>
  </si>
  <si>
    <t>P LM - PREP STE</t>
  </si>
  <si>
    <t>P LM - STERILISATION</t>
  </si>
  <si>
    <t>P MT - ANESTH HPDS</t>
  </si>
  <si>
    <t>P MT - ANESTH PDS</t>
  </si>
  <si>
    <t>P MT - BLOC PDS</t>
  </si>
  <si>
    <t>P MT - BLOC PROG</t>
  </si>
  <si>
    <t>P MT - EF CARDIO</t>
  </si>
  <si>
    <t>P MT - EF CHIR SPEC</t>
  </si>
  <si>
    <t>P MT - EF GASTRO</t>
  </si>
  <si>
    <t>P MT - EF NEURO</t>
  </si>
  <si>
    <t>P MT - EF PNEUMO</t>
  </si>
  <si>
    <t>P MT - LABORATOIRE SOUSTRAITANCE</t>
  </si>
  <si>
    <t>P MT - MCO REEDUCATION</t>
  </si>
  <si>
    <t>P Ped UTNC</t>
  </si>
  <si>
    <t>P Pharma Transp</t>
  </si>
  <si>
    <t>P PT CX</t>
  </si>
  <si>
    <t>P Structure</t>
  </si>
  <si>
    <t>P Unité Transv Nutrition</t>
  </si>
  <si>
    <t>Total - 57 lignes</t>
  </si>
  <si>
    <t>Charges Brutes CREA 2018</t>
  </si>
  <si>
    <t>P Hémato-Oncologie</t>
  </si>
  <si>
    <t>CREA_RGP_CPT_ssTitre</t>
  </si>
  <si>
    <t>Libellé CREA_RGP_CPT_ssTitre</t>
  </si>
  <si>
    <t>8040 - P Hémato-Onco Cs</t>
  </si>
  <si>
    <t>8240 - P Hémato-Onco HC</t>
  </si>
  <si>
    <t>8241 - P Hémato UPPA</t>
  </si>
  <si>
    <t>8243 - P Hémato-Onco HJ</t>
  </si>
  <si>
    <t>8244 - P Hémato-Onco Séances</t>
  </si>
  <si>
    <t>8248 - P Hémato HC</t>
  </si>
  <si>
    <t>8249 - P Hémato HJ</t>
  </si>
  <si>
    <t>8253 - P Onco digestive séances</t>
  </si>
  <si>
    <t>8255 - P Hémato Soins Intensifs</t>
  </si>
  <si>
    <t>8280 - P Onco HC</t>
  </si>
  <si>
    <t>8281 - P Onco HJ</t>
  </si>
  <si>
    <t>8282 - P Hémato 3 HC</t>
  </si>
  <si>
    <t>8283 - P Hémato Séance</t>
  </si>
  <si>
    <t>8284 - P Onco Séance</t>
  </si>
  <si>
    <t>Titres [Comptes] - 1C - CHARGES RELATIV PERSONNEL</t>
  </si>
  <si>
    <t>PM GA</t>
  </si>
  <si>
    <t>Personnel médical-praticiens gardes &amp; astreintes</t>
  </si>
  <si>
    <t>PM HGA</t>
  </si>
  <si>
    <t>Personnel médical-praticiens (hors gardes &amp; astreintes)</t>
  </si>
  <si>
    <t>PM int</t>
  </si>
  <si>
    <t>Personnel médical-internes</t>
  </si>
  <si>
    <t>PNM</t>
  </si>
  <si>
    <t>Total - Titres [Comptes] - 1C - CHARGES RELATIV PERSONNEL</t>
  </si>
  <si>
    <t>Titres [Comptes] - 1P - PRODUITS VERSES PAR L'ASSURANCE MALADIE</t>
  </si>
  <si>
    <t>AC</t>
  </si>
  <si>
    <t>ExtT1</t>
  </si>
  <si>
    <t>Activité externe -Assurance Maladie (Titre 1)</t>
  </si>
  <si>
    <t>FIR</t>
  </si>
  <si>
    <t>GHS ex. ant</t>
  </si>
  <si>
    <t>GHS exercice antérieur</t>
  </si>
  <si>
    <t>HospT1</t>
  </si>
  <si>
    <t>Assurance maladie (GHS, IVG, PO,¿ dont AME et SU)</t>
  </si>
  <si>
    <t>Med ATU P</t>
  </si>
  <si>
    <t>Mdicaments sous ATU</t>
  </si>
  <si>
    <t>MIG</t>
  </si>
  <si>
    <t>MON sus GHS P</t>
  </si>
  <si>
    <t>Produits MON en sus</t>
  </si>
  <si>
    <t>Sej. a cheval</t>
  </si>
  <si>
    <t>Impact séjours à cheval (année N/N-1)</t>
  </si>
  <si>
    <t>Total - Titres [Comptes] - 1P - PRODUITS VERSES PAR L'ASSURANCE MALADIE</t>
  </si>
  <si>
    <t>Titres [Comptes] - 2C - CHARGES A CARACTERE MEDICAL</t>
  </si>
  <si>
    <t>Autre</t>
  </si>
  <si>
    <t>Biomédical</t>
  </si>
  <si>
    <t>DM incl GHS</t>
  </si>
  <si>
    <t>Dispositifs médicaux inclus GHS</t>
  </si>
  <si>
    <t>Gaz</t>
  </si>
  <si>
    <t>Gaz médicaux</t>
  </si>
  <si>
    <t>Informatique</t>
  </si>
  <si>
    <t>Informatique à car. Méd.</t>
  </si>
  <si>
    <t>Med ATU</t>
  </si>
  <si>
    <t>Médicaments sous ATU</t>
  </si>
  <si>
    <t>Méd incl GHS</t>
  </si>
  <si>
    <t>Médicaments inclus GHS</t>
  </si>
  <si>
    <t>MON sus GHS</t>
  </si>
  <si>
    <t>Molécules Onéreuses en sus GHS</t>
  </si>
  <si>
    <t>Pdts sanguins EFS</t>
  </si>
  <si>
    <t>Produits sanguins EFS</t>
  </si>
  <si>
    <t>Sous-traitance</t>
  </si>
  <si>
    <t>Total - Titres [Comptes] - 2C - CHARGES A CARACTERE MEDICAL</t>
  </si>
  <si>
    <t>Titres [Comptes] - 2P - AUTRES PRODUITS DE L'ACTIVITE HOSPITALIERE</t>
  </si>
  <si>
    <t>ExtAutresEtab</t>
  </si>
  <si>
    <t>Externe autres établissements</t>
  </si>
  <si>
    <t>Ext conv. Internat.</t>
  </si>
  <si>
    <t>Actes Conv. Internationales</t>
  </si>
  <si>
    <t>ExtT2</t>
  </si>
  <si>
    <t>Activité externe -Autres débiteurs (Titre 2)</t>
  </si>
  <si>
    <t>HospT2</t>
  </si>
  <si>
    <t>Autres payants (Ticket mod., Forfait journ.,¿, dont AME et SU)</t>
  </si>
  <si>
    <t>Total - Titres [Comptes] - 2P - AUTRES PRODUITS DE L'ACTIVITE HOSPITALIERE</t>
  </si>
  <si>
    <t>Titres [Comptes] - 3C - CHARGES A CARACTERE HOTELIER ET GENERAL</t>
  </si>
  <si>
    <t>T3</t>
  </si>
  <si>
    <t>Titre 3 - CHARGES A CAR. HOTELIER</t>
  </si>
  <si>
    <t>Total - Titres [Comptes] - 3C - CHARGES A CARACTERE HOTELIER ET GENERAL</t>
  </si>
  <si>
    <t>Titres [Comptes] - 3P - AUTRES PRODUITS</t>
  </si>
  <si>
    <t>T3Autres</t>
  </si>
  <si>
    <t>T3 Autres</t>
  </si>
  <si>
    <t>T3ExAnt</t>
  </si>
  <si>
    <t>Produits exercice antérieur</t>
  </si>
  <si>
    <t>T3 Rembpers</t>
  </si>
  <si>
    <t>Remb. de personnel (dont MAD)</t>
  </si>
  <si>
    <t>T3Repr</t>
  </si>
  <si>
    <t>Reprise sur provision</t>
  </si>
  <si>
    <t>Total - Titres [Comptes] - 3P - AUTRES PRODUITS</t>
  </si>
  <si>
    <t>Titres [Comptes] - 4C - CHARGES D'AMORTISSEMENTS, DE PROVISIONS ET DEPRECIATIONS, FINANCIERES ET EXCEPTIONNELLES.</t>
  </si>
  <si>
    <t>T4-hors prov</t>
  </si>
  <si>
    <t>Titre 4 - Hors provisions</t>
  </si>
  <si>
    <t>T4-prov</t>
  </si>
  <si>
    <t>Titre 4 - Provisions</t>
  </si>
  <si>
    <t>Total - Titres [Comptes] - 4C - CHARGES D'AMORTISSEMENTS, DE PROVISIONS ET DEPRECIATIONS, FINANCIERES ET EXCEPTIONNELLES.</t>
  </si>
  <si>
    <t>Total - 34 lignes</t>
  </si>
  <si>
    <t>TRAVAUX</t>
  </si>
  <si>
    <t>EQUIPEMENT HOTELIER</t>
  </si>
  <si>
    <t>INFORMATIQUE</t>
  </si>
  <si>
    <t>BIOMEDICAL</t>
  </si>
  <si>
    <t xml:space="preserve">INTITULE DU PROJET : </t>
  </si>
  <si>
    <t>INTERLOCUTEURS</t>
  </si>
  <si>
    <t>DESCRIPTION SYNTHETIQUE DU PROJET</t>
  </si>
  <si>
    <t xml:space="preserve">Date du document : </t>
  </si>
  <si>
    <t>ETAPES ET VALIDATION</t>
  </si>
  <si>
    <t>Etude Opportunité - Faisabilité</t>
  </si>
  <si>
    <t>Date</t>
  </si>
  <si>
    <t>Instances</t>
  </si>
  <si>
    <t>Décisions - Commentaires</t>
  </si>
  <si>
    <t xml:space="preserve">Développement d'une activité existante   </t>
  </si>
  <si>
    <t>Nouvelle activité</t>
  </si>
  <si>
    <t>Nouvelle obligation règlementaire</t>
  </si>
  <si>
    <t>Mission d'intérêt générale</t>
  </si>
  <si>
    <t>CADRE DU PROJET</t>
  </si>
  <si>
    <t>Documents de référence</t>
  </si>
  <si>
    <t>Projet de territoire de santé</t>
  </si>
  <si>
    <t>Projet d'établissement</t>
  </si>
  <si>
    <t>Contrat d'objectifs et de moyens</t>
  </si>
  <si>
    <t>Cocher la bonne case</t>
  </si>
  <si>
    <t>Autre: (à préciser…)</t>
  </si>
  <si>
    <t>INVESTISSEMENT</t>
  </si>
  <si>
    <t>Equipement hotelier</t>
  </si>
  <si>
    <t>Equipement Biomédical</t>
  </si>
  <si>
    <t>Total Investissements</t>
  </si>
  <si>
    <t>Légende</t>
  </si>
  <si>
    <t>CONTEXTE ET ENJEUX</t>
  </si>
  <si>
    <t>MOYENS SOLLICITES A LA MISE EN ŒUVRE DU PROJET</t>
  </si>
  <si>
    <t>Impact en personnel</t>
  </si>
  <si>
    <t>Médical</t>
  </si>
  <si>
    <t>Non-Médical</t>
  </si>
  <si>
    <t>Impact sur les dép médicales</t>
  </si>
  <si>
    <t>Médicaments</t>
  </si>
  <si>
    <t>Pétit Matériel</t>
  </si>
  <si>
    <t>Disp Médicaux</t>
  </si>
  <si>
    <t>Maintenance Biomédicale</t>
  </si>
  <si>
    <t>(Transports, repas, prestations  ext., loyer,</t>
  </si>
  <si>
    <t xml:space="preserve"> maintenance mat non méd, …)</t>
  </si>
  <si>
    <t>Dépenses Informatiques</t>
  </si>
  <si>
    <t>(Consommables, maintenance)</t>
  </si>
  <si>
    <t>Impact sur Plateaux Médico Tech</t>
  </si>
  <si>
    <t>Laboratoires</t>
  </si>
  <si>
    <t>Explo Fonctionnelles</t>
  </si>
  <si>
    <t>Bloc</t>
  </si>
  <si>
    <t>Anesthésie</t>
  </si>
  <si>
    <t>Impact sur l'Investissement</t>
  </si>
  <si>
    <t>Travaux - Aménagements</t>
  </si>
  <si>
    <t xml:space="preserve">Equipements informatiques                         </t>
  </si>
  <si>
    <t>Stérilisation</t>
  </si>
  <si>
    <t>(voir détails)</t>
  </si>
  <si>
    <t>Récap investissement par durée amort</t>
  </si>
  <si>
    <t xml:space="preserve">Récap Total Investissement </t>
  </si>
  <si>
    <t>Travaux</t>
  </si>
  <si>
    <t xml:space="preserve">5 – Date de mise en œuvre (avec Retroplanning dans la mesure du possible): </t>
  </si>
  <si>
    <t>PH</t>
  </si>
  <si>
    <t>PHC</t>
  </si>
  <si>
    <t>ASSISTANT DES HOPITAUX</t>
  </si>
  <si>
    <t>PRATICIEN ATTACHE</t>
  </si>
  <si>
    <t>INTERNE</t>
  </si>
  <si>
    <t>AUTRE</t>
  </si>
  <si>
    <t>SAGE FEMME</t>
  </si>
  <si>
    <t>IADE</t>
  </si>
  <si>
    <t>IBODE</t>
  </si>
  <si>
    <t>AS - AUX PUER</t>
  </si>
  <si>
    <t>ASH</t>
  </si>
  <si>
    <t>SM</t>
  </si>
  <si>
    <t>PSYCHOLOGUE</t>
  </si>
  <si>
    <t>DIETETICIEN</t>
  </si>
  <si>
    <t>KINE</t>
  </si>
  <si>
    <t>MANIP RADIO</t>
  </si>
  <si>
    <t>TECH LABO</t>
  </si>
  <si>
    <t>ASE</t>
  </si>
  <si>
    <t>OUVRIER</t>
  </si>
  <si>
    <t>CADRE INFIRMIER</t>
  </si>
  <si>
    <t>Nb Etp Marginal</t>
  </si>
  <si>
    <t>Estimation T2 - Dépenses à caractère Médical</t>
  </si>
  <si>
    <t>Titre 2 - CHARGES A CAR. MEDICAL</t>
  </si>
  <si>
    <t>An Pleine</t>
  </si>
  <si>
    <t>contrôle</t>
  </si>
  <si>
    <t>N° UF</t>
  </si>
  <si>
    <t>Lib UF</t>
  </si>
  <si>
    <t>Total Lits HC</t>
  </si>
  <si>
    <t>HJ</t>
  </si>
  <si>
    <t>Séances</t>
  </si>
  <si>
    <t>Hosp Complète</t>
  </si>
  <si>
    <t>Hosp Jour</t>
  </si>
  <si>
    <t>DMS Actuel</t>
  </si>
  <si>
    <t>Nb journées hosp marginales</t>
  </si>
  <si>
    <t>Impact Activité HC sur TO (taux Occupation)</t>
  </si>
  <si>
    <t>Total Séjours HC</t>
  </si>
  <si>
    <t>DMS Cible (nb nuits)</t>
  </si>
  <si>
    <t>Tarif GHS</t>
  </si>
  <si>
    <t>Recettes Hosp Comp</t>
  </si>
  <si>
    <t>Recettes Hosp Jour</t>
  </si>
  <si>
    <t>Recettes séances</t>
  </si>
  <si>
    <t>DMS cible</t>
  </si>
  <si>
    <t>Capacités en lits - Places supplémentaires</t>
  </si>
  <si>
    <t>Total Journées HC</t>
  </si>
  <si>
    <t>Autres</t>
  </si>
  <si>
    <t>Année référence CREA</t>
  </si>
  <si>
    <t>8240,8248,8280,8282</t>
  </si>
  <si>
    <t>HC</t>
  </si>
  <si>
    <t>8243,8281</t>
  </si>
  <si>
    <t>8244,8253,8283,8284</t>
  </si>
  <si>
    <t>Choix Type de recettes</t>
  </si>
  <si>
    <t>Estimation T2 en fonction nombre de:</t>
  </si>
  <si>
    <t>Rum</t>
  </si>
  <si>
    <t>Jour</t>
  </si>
  <si>
    <t>Estimation Conso Plateaux Techniques</t>
  </si>
  <si>
    <t>Exp Fontionnelles</t>
  </si>
  <si>
    <t xml:space="preserve">UF(s) réf HC </t>
  </si>
  <si>
    <t xml:space="preserve">UF(s) réf HJ </t>
  </si>
  <si>
    <t xml:space="preserve">UF réf Séances </t>
  </si>
  <si>
    <t>Total - 50 lignes</t>
  </si>
  <si>
    <t>Ch Ind 2018</t>
  </si>
  <si>
    <t>RGP_SC_TypeSA - HS</t>
  </si>
  <si>
    <t>Total - RGP_SC_TypeSA - HS</t>
  </si>
  <si>
    <t>RGP_SC_TypeSA - LGG</t>
  </si>
  <si>
    <t>Total - RGP_SC_TypeSA - LGG</t>
  </si>
  <si>
    <t>RGP_SC_TypeSA - LM</t>
  </si>
  <si>
    <t>Total - RGP_SC_TypeSA - LM</t>
  </si>
  <si>
    <t>RGP_SC_TypeSA - MT</t>
  </si>
  <si>
    <t>Total - RGP_SC_TypeSA - MT</t>
  </si>
  <si>
    <t>HS</t>
  </si>
  <si>
    <t>LGG</t>
  </si>
  <si>
    <t>LM</t>
  </si>
  <si>
    <t>MT</t>
  </si>
  <si>
    <t>Total - 4 lignes</t>
  </si>
  <si>
    <t>Regroupement par Type SA - Liste</t>
  </si>
  <si>
    <t>Regroupement par Type SA - Cellules</t>
  </si>
  <si>
    <t>Charges Induites - Indirectes</t>
  </si>
  <si>
    <t>Charges indirectes SC  - Détails par uf</t>
  </si>
  <si>
    <t>Charges indirectes par uf filtre</t>
  </si>
  <si>
    <t>Charges indirectes total uf filtre par type de regroup</t>
  </si>
  <si>
    <t>LG_Adm</t>
  </si>
  <si>
    <t>LG_Adm_Inst</t>
  </si>
  <si>
    <t>LG_Blanc</t>
  </si>
  <si>
    <t>D Blanchis</t>
  </si>
  <si>
    <t>LG_C_Dim_Dsio</t>
  </si>
  <si>
    <t>D Serv Mortuaire</t>
  </si>
  <si>
    <t>D Gest Malade</t>
  </si>
  <si>
    <t>D SIM</t>
  </si>
  <si>
    <t>D GDM</t>
  </si>
  <si>
    <t>LG_CNI</t>
  </si>
  <si>
    <t>D CNI</t>
  </si>
  <si>
    <t>LG_H_EM_Transp</t>
  </si>
  <si>
    <t>D Svces Hotel</t>
  </si>
  <si>
    <t>D Brancardage</t>
  </si>
  <si>
    <t>D Entr  Maint</t>
  </si>
  <si>
    <t>LG_Repas</t>
  </si>
  <si>
    <t>D Restau</t>
  </si>
  <si>
    <t>LG_RH</t>
  </si>
  <si>
    <t>LG_RH_Inst</t>
  </si>
  <si>
    <t>LG_Struc</t>
  </si>
  <si>
    <t>D Structure</t>
  </si>
  <si>
    <t>LM Hyg_Vig_Bque</t>
  </si>
  <si>
    <t>D Hemovig.</t>
  </si>
  <si>
    <t>D Risque infect.</t>
  </si>
  <si>
    <t>LM P_Sté_Prep</t>
  </si>
  <si>
    <t>D Pharma transport</t>
  </si>
  <si>
    <t>D CHIMIO Reventil</t>
  </si>
  <si>
    <t>D UMFA Reventil</t>
  </si>
  <si>
    <t>D Stérilisation</t>
  </si>
  <si>
    <t>LM_Biomed</t>
  </si>
  <si>
    <t>P UPMR</t>
  </si>
  <si>
    <t>D Biomed</t>
  </si>
  <si>
    <t>D Phys Méd Radioprotection</t>
  </si>
  <si>
    <t>MT Anes Endo</t>
  </si>
  <si>
    <t>D Anesthésie Endoscopie</t>
  </si>
  <si>
    <t>MT Anes OBS</t>
  </si>
  <si>
    <t>D Anesthésie Obst</t>
  </si>
  <si>
    <t>P MT - ANESTH OBS</t>
  </si>
  <si>
    <t>MT Anes PDS</t>
  </si>
  <si>
    <t>D Anesthésie non prog</t>
  </si>
  <si>
    <t>MT Anes Prog</t>
  </si>
  <si>
    <t>D Anesthésie program.</t>
  </si>
  <si>
    <t>MT BLOC  OBS</t>
  </si>
  <si>
    <t>P MT - BLOC OBS</t>
  </si>
  <si>
    <t>D Bloc Central Obst</t>
  </si>
  <si>
    <t>MT Bloc CTC</t>
  </si>
  <si>
    <t>D Bloc CTC</t>
  </si>
  <si>
    <t>MT Bloc GB</t>
  </si>
  <si>
    <t>D Bloc GB</t>
  </si>
  <si>
    <t>MT BLOC HPDS</t>
  </si>
  <si>
    <t>D Bloc Central program.</t>
  </si>
  <si>
    <t>MT BLOC PDS</t>
  </si>
  <si>
    <t>D Bloc Central non prog.</t>
  </si>
  <si>
    <t>MT EF CARDIO</t>
  </si>
  <si>
    <t>D EF Cardio</t>
  </si>
  <si>
    <t>MT EF CARDIO PED</t>
  </si>
  <si>
    <t>D EF Cardio Ped</t>
  </si>
  <si>
    <t>MT EF CHIR</t>
  </si>
  <si>
    <t>D EF Spé. Chir</t>
  </si>
  <si>
    <t>MT EF GASTRO</t>
  </si>
  <si>
    <t>D EF Hépato-Gastro</t>
  </si>
  <si>
    <t>MT EF NEURO</t>
  </si>
  <si>
    <t>D EF Neuro</t>
  </si>
  <si>
    <t>MT EF OBST</t>
  </si>
  <si>
    <t>D EF Obst</t>
  </si>
  <si>
    <t>MT EF PNEUMO</t>
  </si>
  <si>
    <t>D EF Pneumo</t>
  </si>
  <si>
    <t>MT Im Echo</t>
  </si>
  <si>
    <t>D Echo Hosp</t>
  </si>
  <si>
    <t>MT Im IRM</t>
  </si>
  <si>
    <t>D IRM Hosp</t>
  </si>
  <si>
    <t>MT Im Med Nuc</t>
  </si>
  <si>
    <t>MT Im Radio</t>
  </si>
  <si>
    <t>D Radio Hosp</t>
  </si>
  <si>
    <t>MT Im Scan</t>
  </si>
  <si>
    <t>D Scanner Hosp</t>
  </si>
  <si>
    <t>MT Im ST</t>
  </si>
  <si>
    <t>D Imagerie ST</t>
  </si>
  <si>
    <t>MT Im Tep</t>
  </si>
  <si>
    <t>MT Im Vasc</t>
  </si>
  <si>
    <t>MT Kine PT CX BIB</t>
  </si>
  <si>
    <t>D CE Centrales</t>
  </si>
  <si>
    <t>D Biberonnerie</t>
  </si>
  <si>
    <t>D Kiné</t>
  </si>
  <si>
    <t>MT Labo Anap Autres</t>
  </si>
  <si>
    <t>D Autres exHN - ANAPATH</t>
  </si>
  <si>
    <t>MT Labo Anap CCAM</t>
  </si>
  <si>
    <t>D CCAM Labo- ANAPATH</t>
  </si>
  <si>
    <t>MT Labo Autres</t>
  </si>
  <si>
    <t>MT Labo B</t>
  </si>
  <si>
    <t>MT Labo HLA Autres</t>
  </si>
  <si>
    <t>MT Labo HLA B</t>
  </si>
  <si>
    <t>MT Labo ST</t>
  </si>
  <si>
    <t>D Lab-Biol/Bioch ST</t>
  </si>
  <si>
    <t>MT Sect naissance</t>
  </si>
  <si>
    <t>D Secteur Naissance</t>
  </si>
  <si>
    <t>MT UTNC</t>
  </si>
  <si>
    <t>D UTNC Formation</t>
  </si>
  <si>
    <t>D UTNC Nord</t>
  </si>
  <si>
    <t xml:space="preserve">Charges Indirectes
RGP_SC_Ch_Ind (Code / Origine / Producteur)
Condition : 
	 Comptes &lt;&gt; H974% 
	ET Budget = H </t>
  </si>
  <si>
    <t>Reg Nature</t>
  </si>
  <si>
    <t>MT Anes</t>
  </si>
  <si>
    <t>MT BLOC</t>
  </si>
  <si>
    <t>MT EF</t>
  </si>
  <si>
    <t>MT Imagerie</t>
  </si>
  <si>
    <t>MT Labo</t>
  </si>
  <si>
    <t>Reg SC CREA</t>
  </si>
  <si>
    <t>SC CREA</t>
  </si>
  <si>
    <t>TOTAL CHARGES INDUITES</t>
  </si>
  <si>
    <t>Préparation Chimio</t>
  </si>
  <si>
    <t>Impact sur logistique Médicale</t>
  </si>
  <si>
    <t>Repas</t>
  </si>
  <si>
    <t>kg/jr</t>
  </si>
  <si>
    <t>HC_Obs_Chir</t>
  </si>
  <si>
    <t>HC_SI_Réa</t>
  </si>
  <si>
    <t>HC_Med_SSR_Psy</t>
  </si>
  <si>
    <t>Blanchisserie (kg/jr)</t>
  </si>
  <si>
    <t>Restauration (repas)</t>
  </si>
  <si>
    <t>Blanchisserie (kg)</t>
  </si>
  <si>
    <t>MO-DMI-ATU</t>
  </si>
  <si>
    <t>Estimation recettes par</t>
  </si>
  <si>
    <t>CA / Jour</t>
  </si>
  <si>
    <t>CA / jour</t>
  </si>
  <si>
    <t>Contrat de pole</t>
  </si>
  <si>
    <t>Dépenses hotelières et générales</t>
  </si>
  <si>
    <t>Exp Fonctionnelles</t>
  </si>
  <si>
    <t>Dotations</t>
  </si>
  <si>
    <t>Autres recettes</t>
  </si>
  <si>
    <t>Amort au prorata temporis</t>
  </si>
  <si>
    <t xml:space="preserve">Pole(s) Partenaire(s): </t>
  </si>
  <si>
    <t xml:space="preserve">Promoteur(s) médical: </t>
  </si>
  <si>
    <t>Pole / Service du Porteur:</t>
  </si>
  <si>
    <t/>
  </si>
  <si>
    <r>
      <t>Analyse des besoins (</t>
    </r>
    <r>
      <rPr>
        <b/>
        <i/>
        <sz val="11"/>
        <color rgb="FF000000"/>
        <rFont val="Calibri"/>
        <family val="2"/>
        <scheme val="minor"/>
      </rPr>
      <t>Missions, objectifs, patientèle visée, caractère novateur, statistiques épidémiologiques</t>
    </r>
    <r>
      <rPr>
        <b/>
        <i/>
        <sz val="12"/>
        <color rgb="FF000000"/>
        <rFont val="Calibri"/>
        <family val="2"/>
        <scheme val="minor"/>
      </rPr>
      <t>, ...)</t>
    </r>
  </si>
  <si>
    <t>Bénéfices attendus par le patient</t>
  </si>
  <si>
    <t xml:space="preserve">1- Description de l'activité (activité prévisionnelle )   </t>
  </si>
  <si>
    <t>2 - Circuit patient (Prise de rendez-vous, accueil, prise en charge, sortie...)</t>
  </si>
  <si>
    <t>3 - Lieu d'implantation du projet</t>
  </si>
  <si>
    <t>4 –Partenariats (internes, externes)</t>
  </si>
  <si>
    <t xml:space="preserve">6- Incidences de la mise en œuvre ou du développement de l'activité </t>
  </si>
  <si>
    <r>
      <t xml:space="preserve">Incidences sur la capacité en lits et places </t>
    </r>
    <r>
      <rPr>
        <sz val="11"/>
        <color rgb="FF000000"/>
        <rFont val="Calibri"/>
        <family val="2"/>
        <scheme val="minor"/>
      </rPr>
      <t xml:space="preserve">: </t>
    </r>
  </si>
  <si>
    <t>Incidences prévisibles sur le fonctionnement et l'organisation d'autres services de soins (amont et aval) :</t>
  </si>
  <si>
    <r>
      <t>Incidences prévisibles sur le fonctionnement et l'organisation des services prestataires d'actes de diagnostic (laboratoire, imagerie, pharmacie....):</t>
    </r>
    <r>
      <rPr>
        <sz val="11"/>
        <color rgb="FF000000"/>
        <rFont val="Calibri"/>
        <family val="2"/>
        <scheme val="minor"/>
      </rPr>
      <t xml:space="preserve"> </t>
    </r>
  </si>
  <si>
    <t xml:space="preserve">Incidence prévisible sur l'activité et les recettes : </t>
  </si>
  <si>
    <t>Incidence si le projet n’aboutit pas :</t>
  </si>
  <si>
    <t>MODE DE FINANCEMENT DU PROJET</t>
  </si>
  <si>
    <t>T2A - Tarification à l'activité</t>
  </si>
  <si>
    <t>MIG - AC - FIR</t>
  </si>
  <si>
    <t>A préciser:</t>
  </si>
  <si>
    <r>
      <rPr>
        <b/>
        <sz val="11"/>
        <color theme="1"/>
        <rFont val="Calibri"/>
        <family val="2"/>
        <scheme val="minor"/>
      </rPr>
      <t>Code Projet</t>
    </r>
    <r>
      <rPr>
        <sz val="11"/>
        <color theme="1"/>
        <rFont val="Calibri"/>
        <family val="2"/>
        <scheme val="minor"/>
      </rPr>
      <t xml:space="preserve"> (P_An_N°):</t>
    </r>
  </si>
  <si>
    <t>P_21_00x</t>
  </si>
  <si>
    <t>RESULTAT PREVISIONNEL EXPLOITATION</t>
  </si>
  <si>
    <t>Dépenses Marginales</t>
  </si>
  <si>
    <t>Résultat Marginal</t>
  </si>
  <si>
    <t>Impact sur TO</t>
  </si>
  <si>
    <t>Estimation Nombre de Séjours</t>
  </si>
  <si>
    <t>A saisir, DMS Cible pour HC</t>
  </si>
  <si>
    <t xml:space="preserve">Projections activité supplémentaire </t>
  </si>
  <si>
    <t>Saisir les investissements</t>
  </si>
  <si>
    <t>RÉSUMÉ</t>
  </si>
  <si>
    <t>Aide à l'investissement</t>
  </si>
  <si>
    <t>Taux Résultat Marginal</t>
  </si>
  <si>
    <t>Tx Résultat Marginal</t>
  </si>
  <si>
    <t xml:space="preserve">Date de mise en œuvre (avec Retroplanning dans la mesure du possible): </t>
  </si>
  <si>
    <t xml:space="preserve">Description de l'activité (activité prévisionnelle )   </t>
  </si>
  <si>
    <t>FEU VERT pour déploiement du projet sur la base de la fiche Projet</t>
  </si>
  <si>
    <t>Décision étude financière</t>
  </si>
  <si>
    <t>zone réservée DG</t>
  </si>
  <si>
    <t>Décision déploiement projet</t>
  </si>
  <si>
    <t>1- FICHE AVANT PROJET</t>
  </si>
  <si>
    <t>Critère d'évaluation 1 :</t>
  </si>
  <si>
    <t>Cible</t>
  </si>
  <si>
    <t>Description (source / période de référence / périmètre ...)</t>
  </si>
  <si>
    <t>Réalisé</t>
  </si>
  <si>
    <t>date évaluation</t>
  </si>
  <si>
    <t>Critère d'évaluation 2 :</t>
  </si>
  <si>
    <t>Critère d'évaluation 3 :</t>
  </si>
  <si>
    <t>Critère d'évaluation 4 :</t>
  </si>
  <si>
    <t>Critère d'évaluation 5 :</t>
  </si>
  <si>
    <t>EVALUATION</t>
  </si>
  <si>
    <t>évaluation</t>
  </si>
  <si>
    <t>OK</t>
  </si>
  <si>
    <t>NOK</t>
  </si>
  <si>
    <t>Critère 1</t>
  </si>
  <si>
    <t>Critère 2</t>
  </si>
  <si>
    <t>Critère 3</t>
  </si>
  <si>
    <t>Critère 4</t>
  </si>
  <si>
    <t>Critère 5</t>
  </si>
  <si>
    <t>EFFECTIFS 2015 - CHU SITE GHSR</t>
  </si>
  <si>
    <t>Source: Hexagone</t>
  </si>
  <si>
    <t>LIBGR</t>
  </si>
  <si>
    <t>Côut réel moyen     Majoré Magh2</t>
  </si>
  <si>
    <t>AAH</t>
  </si>
  <si>
    <t>Adjoints administratifs hospitaliers</t>
  </si>
  <si>
    <t>ACH</t>
  </si>
  <si>
    <t>Adjoints des cadres hospitaliers</t>
  </si>
  <si>
    <t>AELE</t>
  </si>
  <si>
    <t>Aides d'électroradiologie</t>
  </si>
  <si>
    <t>AGMA</t>
  </si>
  <si>
    <t>Agents de maitrise</t>
  </si>
  <si>
    <t>ALCH</t>
  </si>
  <si>
    <t>Allocataire chômage</t>
  </si>
  <si>
    <t>ANAP</t>
  </si>
  <si>
    <t>Analystes programmeurs</t>
  </si>
  <si>
    <t>APHA</t>
  </si>
  <si>
    <t>Aides de pharmacie</t>
  </si>
  <si>
    <t>APP</t>
  </si>
  <si>
    <t>Apprentis</t>
  </si>
  <si>
    <t>ASAP</t>
  </si>
  <si>
    <t>Aides soignants</t>
  </si>
  <si>
    <t>Ass. socio éduc. / Educateurs spéc.</t>
  </si>
  <si>
    <t>ASH qualifiés</t>
  </si>
  <si>
    <t>ASIS</t>
  </si>
  <si>
    <t>Assistants</t>
  </si>
  <si>
    <t>ATL</t>
  </si>
  <si>
    <t>Aides de laboratoire</t>
  </si>
  <si>
    <t>ATT</t>
  </si>
  <si>
    <t>Praticiens Attachés</t>
  </si>
  <si>
    <t>ATTA</t>
  </si>
  <si>
    <t>Attachés d'administration hospitalière</t>
  </si>
  <si>
    <t>AUM</t>
  </si>
  <si>
    <t>Aumôniers</t>
  </si>
  <si>
    <t>CA</t>
  </si>
  <si>
    <t>Contrats aidés</t>
  </si>
  <si>
    <t>CMT</t>
  </si>
  <si>
    <t>Cadres de santé médico techniques</t>
  </si>
  <si>
    <t>CONB</t>
  </si>
  <si>
    <t>Conducteurs ambulanciers</t>
  </si>
  <si>
    <t>CONT</t>
  </si>
  <si>
    <t>Praticiens Contractuels</t>
  </si>
  <si>
    <t>CS</t>
  </si>
  <si>
    <t>Cadres de santé soignant</t>
  </si>
  <si>
    <t>CSDS</t>
  </si>
  <si>
    <t>Cadres supérieurs de santé soignant</t>
  </si>
  <si>
    <t>CSMT</t>
  </si>
  <si>
    <t>Cadres supérieurs de santé médico techni</t>
  </si>
  <si>
    <t>DIET</t>
  </si>
  <si>
    <t>Diététiciens</t>
  </si>
  <si>
    <t>DIR</t>
  </si>
  <si>
    <t>Directeurs</t>
  </si>
  <si>
    <t>DIRS</t>
  </si>
  <si>
    <t>Directeurs de soins</t>
  </si>
  <si>
    <t>ERGO</t>
  </si>
  <si>
    <t>Ergothérapeutes</t>
  </si>
  <si>
    <t>ETUD</t>
  </si>
  <si>
    <t>Etudiants IES</t>
  </si>
  <si>
    <t>FAT</t>
  </si>
  <si>
    <t>Familles d'accueil thérapeutique</t>
  </si>
  <si>
    <t>Infirmiers anesthésistes</t>
  </si>
  <si>
    <t>IBOD</t>
  </si>
  <si>
    <t>Infirmiers de bloc opératoire</t>
  </si>
  <si>
    <t>IDE</t>
  </si>
  <si>
    <t>Infirmiers diplômé d'état</t>
  </si>
  <si>
    <t>ING</t>
  </si>
  <si>
    <t>Ingénieurs hospitaliers</t>
  </si>
  <si>
    <t>INT</t>
  </si>
  <si>
    <t>Internes</t>
  </si>
  <si>
    <t>MEDW</t>
  </si>
  <si>
    <t>Médecins du travail</t>
  </si>
  <si>
    <t>MK</t>
  </si>
  <si>
    <t>Masseurs kinésithérapeutes</t>
  </si>
  <si>
    <t>MO</t>
  </si>
  <si>
    <t>Maîtres ouvriers</t>
  </si>
  <si>
    <t>MR</t>
  </si>
  <si>
    <t>Manipulateurs d'électroradiologie</t>
  </si>
  <si>
    <t>NHOP</t>
  </si>
  <si>
    <t>Non hospiataliers</t>
  </si>
  <si>
    <t>ORTH</t>
  </si>
  <si>
    <t>Orthophonistes</t>
  </si>
  <si>
    <t>ORTP</t>
  </si>
  <si>
    <t>Orthoptistes</t>
  </si>
  <si>
    <t>OUV</t>
  </si>
  <si>
    <t>Personnels ouvriers</t>
  </si>
  <si>
    <t>PEDP</t>
  </si>
  <si>
    <t>Pédicure podologue</t>
  </si>
  <si>
    <t>PREP</t>
  </si>
  <si>
    <t>Préparateurs en pharmacie</t>
  </si>
  <si>
    <t>PSY</t>
  </si>
  <si>
    <t>Psychologues</t>
  </si>
  <si>
    <t>PSYC</t>
  </si>
  <si>
    <t>Psychomotriciens</t>
  </si>
  <si>
    <t>PUER</t>
  </si>
  <si>
    <t>Puéricultrices</t>
  </si>
  <si>
    <t>PUPI</t>
  </si>
  <si>
    <t>Pupitreurs</t>
  </si>
  <si>
    <t>RADI</t>
  </si>
  <si>
    <t>Radiophysiciens</t>
  </si>
  <si>
    <t>SF</t>
  </si>
  <si>
    <t>Sages femmes</t>
  </si>
  <si>
    <t>Secrétaires médicales</t>
  </si>
  <si>
    <t>TL</t>
  </si>
  <si>
    <t>Techniciens de laboratoire</t>
  </si>
  <si>
    <t>TPAR</t>
  </si>
  <si>
    <t>Praticiens temps partiel</t>
  </si>
  <si>
    <t>TPLE</t>
  </si>
  <si>
    <t>Praticiens temps plein</t>
  </si>
  <si>
    <t>TSH</t>
  </si>
  <si>
    <t>Techniciens supérieurs hospitaliers</t>
  </si>
  <si>
    <t>Total général</t>
  </si>
  <si>
    <t>Masse salariale comptable du site Sud:</t>
  </si>
  <si>
    <t>A retirer (personnels rémunérés par le site mais ne participant pas à l'activité hospitalière):</t>
  </si>
  <si>
    <t>1- Etudiants</t>
  </si>
  <si>
    <t>2- FAT</t>
  </si>
  <si>
    <t>3- Alloc. Chomage</t>
  </si>
  <si>
    <t>4- Internes Prat. ville (UF 35-Internes ext CHU)</t>
  </si>
  <si>
    <t>anciennement sur UF 310- D Pers. Hors activité</t>
  </si>
  <si>
    <t>INTERNES</t>
  </si>
  <si>
    <t>5- Assistants partagés (UF 34- Assistants ext CHU)</t>
  </si>
  <si>
    <t>Evol. 2015/2014</t>
  </si>
  <si>
    <t>Total site GHSR</t>
  </si>
  <si>
    <t>PM</t>
  </si>
  <si>
    <t>Internes sur site</t>
  </si>
  <si>
    <t>Méthode retenue</t>
  </si>
  <si>
    <t>Période de référence</t>
  </si>
  <si>
    <t>périmètre de référence</t>
  </si>
  <si>
    <t>inducteur de coût</t>
  </si>
  <si>
    <t>(ex : nb de GHM, nb de journées, nb de lits …)</t>
  </si>
  <si>
    <t>(ex : liste UF, liste GHM …)</t>
  </si>
  <si>
    <t>CREA</t>
  </si>
  <si>
    <t>(ex : 2018)</t>
  </si>
  <si>
    <t>Activité marginale</t>
  </si>
  <si>
    <t>Disp. Médicaux implantables en sus GHS</t>
  </si>
  <si>
    <t>Biomédical (maintenance matériel médical et fournitures)</t>
  </si>
  <si>
    <t>Dotations et subventions exploitation</t>
  </si>
  <si>
    <t>Commentaires</t>
  </si>
  <si>
    <t>Fournitures non medicales (bureau, info, hotelieres)</t>
  </si>
  <si>
    <t>Maintenance matériel non médical</t>
  </si>
  <si>
    <t>Locations non médicales</t>
  </si>
  <si>
    <t>Prestations extérieures non médicales</t>
  </si>
  <si>
    <t>Assurances</t>
  </si>
  <si>
    <t>formations</t>
  </si>
  <si>
    <t>frais de déplacements</t>
  </si>
  <si>
    <t>Estimation T3 - Charges à caractère hotelier et général</t>
  </si>
  <si>
    <t>Titre 3 - CHARGES A CAR. HOTELIER ET GENERAL</t>
  </si>
  <si>
    <t>Estimation Charges logistiques</t>
  </si>
  <si>
    <t>Activité Marginale</t>
  </si>
  <si>
    <t>Projet Régional de santé</t>
  </si>
  <si>
    <t>FEDER</t>
  </si>
  <si>
    <t>Type activité HC</t>
  </si>
  <si>
    <t>Objectif Taux Résultat Marginal</t>
  </si>
  <si>
    <t>Ecart par rapport à l'Objectif</t>
  </si>
  <si>
    <t>POLE BIOLOGIE/LABORATOIRE D'HEMATOLOGIE</t>
  </si>
  <si>
    <t>Non applicable</t>
  </si>
  <si>
    <t>1PH</t>
  </si>
  <si>
    <t>économie d'environ 350 000 euros (cf fichier étude médico-économique)</t>
  </si>
  <si>
    <t>Drs Sophie BASTARD, Loria ZALMAÏ, Claire GONIN</t>
  </si>
  <si>
    <t>prix/série</t>
  </si>
  <si>
    <t>prix /echt</t>
  </si>
  <si>
    <t>cout réactif/echt</t>
  </si>
  <si>
    <t>nb echt/année</t>
  </si>
  <si>
    <t>cout total réactifs/an</t>
  </si>
  <si>
    <t>RIHN ou liste complémentaire</t>
  </si>
  <si>
    <t>cout RIHN</t>
  </si>
  <si>
    <t>cout RIHN/an</t>
  </si>
  <si>
    <t>Extraction ADN (48 echt)</t>
  </si>
  <si>
    <t>Extraction ARN (48 echt)</t>
  </si>
  <si>
    <t>prix/echt (discount)</t>
  </si>
  <si>
    <t>NGS panel maison Illumina MYELOIDE</t>
  </si>
  <si>
    <t>AmpliSeq™ Custom DNA Panel (610 amplicons) pour 3000 echt</t>
  </si>
  <si>
    <t>AmpliSeq™ Library PLUS (96 Reactions)</t>
  </si>
  <si>
    <t>9572.00</t>
  </si>
  <si>
    <t>AmpliSeq™ CD Indexes Set A for Illumina (96 indexes)</t>
  </si>
  <si>
    <t>Flow cell (12 echt)</t>
  </si>
  <si>
    <t>NGS myéloide à façon sans bioinfo</t>
  </si>
  <si>
    <t>N454</t>
  </si>
  <si>
    <t>NGS panel maison Illumina LYMPHOIDE</t>
  </si>
  <si>
    <t>NGS lymphoïde à façon sans bioinfo</t>
  </si>
  <si>
    <t>NGS panel maison Illumina TP53 LLC</t>
  </si>
  <si>
    <t>AmpliSeq™ Custom DNA Panel (&lt;96 amplicons) pour 750 echt</t>
  </si>
  <si>
    <t>NGS TP53 à façon sans bioinfo</t>
  </si>
  <si>
    <t>N452</t>
  </si>
  <si>
    <t>cout réactif NGS/an</t>
  </si>
  <si>
    <t>total cout RIHN NGS</t>
  </si>
  <si>
    <t>cout extraction</t>
  </si>
  <si>
    <t>cout total bioinfo/an</t>
  </si>
  <si>
    <t>cout NGS à façon avec bioinfo/an</t>
  </si>
  <si>
    <t>BIO MOL HORS NGS</t>
  </si>
  <si>
    <t>cout d'un séquence Sanger (=seq)</t>
  </si>
  <si>
    <t>cout d'une analyse de fragment (AF)</t>
  </si>
  <si>
    <t>Bilan LAM (FLT3/NPM1/IDH1-2/CEBPA)</t>
  </si>
  <si>
    <t>N459 (par cible)</t>
  </si>
  <si>
    <t>2 AF et 5 seq soit 5 cibles</t>
  </si>
  <si>
    <t>Bilan SMP (CALR, MPL, JAK2 ex12)</t>
  </si>
  <si>
    <t>N455 (par cible)</t>
  </si>
  <si>
    <t>1 AF et 2 seq soit 3 cibles</t>
  </si>
  <si>
    <t>Clonalité lymphoïde</t>
  </si>
  <si>
    <t>N404</t>
  </si>
  <si>
    <t xml:space="preserve">1 AF </t>
  </si>
  <si>
    <t>cout réactifs techniques non NGS</t>
  </si>
  <si>
    <t>total cout RIHN analyses non NGS</t>
  </si>
  <si>
    <t>1 PH/an</t>
  </si>
  <si>
    <t>3 techniciens/an</t>
  </si>
  <si>
    <t>0,2 bio-informaticien/an</t>
  </si>
  <si>
    <t>Total des dépenses</t>
  </si>
  <si>
    <t>total des dépenses des analyses envoyées métropole</t>
  </si>
  <si>
    <t>déclaration à FICHSUP de 805396,5</t>
  </si>
  <si>
    <t>50% (enveloppe FICHSUP rembousement)</t>
  </si>
  <si>
    <t>dépenses finales avec le remboursement FICHSUP</t>
  </si>
  <si>
    <t>Ressources humaines</t>
  </si>
  <si>
    <t>1 PH temps plein: 150000/an</t>
  </si>
  <si>
    <t>3 techniciens 67000x3 soit 201000/an</t>
  </si>
  <si>
    <t>1 bioinformaticien 75000x0,2 soit 15000/an</t>
  </si>
  <si>
    <t xml:space="preserve">logiciel d'analyse de séquence </t>
  </si>
  <si>
    <t>un thermocycleur</t>
  </si>
  <si>
    <t>1 PC</t>
  </si>
  <si>
    <t>?</t>
  </si>
  <si>
    <t>thermomixer</t>
  </si>
  <si>
    <t>NGS panel commercial bio-info intégrée MYELOIDE</t>
  </si>
  <si>
    <t>kit réactifs NGS+panel commercial+bioinfo/patient</t>
  </si>
  <si>
    <t>NA</t>
  </si>
  <si>
    <t>flow cell (12 echt)</t>
  </si>
  <si>
    <t>NGS myéloïde commercial+bioinfo</t>
  </si>
  <si>
    <t>NGS panel commercial bio-info intégrée LYMPHOIDE</t>
  </si>
  <si>
    <t>NGS lymhoide  commercial+bioinfo</t>
  </si>
  <si>
    <t>cout réactifs NGS/an</t>
  </si>
  <si>
    <t>cout total NGS commercial</t>
  </si>
  <si>
    <t>6000 euros</t>
  </si>
  <si>
    <t>5000 euros</t>
  </si>
  <si>
    <t>Projections</t>
  </si>
  <si>
    <t>Evol %</t>
  </si>
  <si>
    <t>N455</t>
  </si>
  <si>
    <t>N459</t>
  </si>
  <si>
    <t xml:space="preserve">Nb Actes </t>
  </si>
  <si>
    <t>Tarif RIHN</t>
  </si>
  <si>
    <t>Je vous fait un retour de l'avancée du projet et des différents points abordés lors de notre précédente réunion:</t>
  </si>
  <si>
    <t>- volume des données bio-info: sur la base des données générées par le panel développé en génétique par Maud Blanluet, on peut évaluer les données générées par un panel NGS myéloïde à 24 Go par échantillon soit 4.8 To pour une année</t>
  </si>
  <si>
    <t>- bio-informaticien local: au cours d'une entrevue, Marie-Christine JAFFAR nous informe que son bio-informaticien Nicolas N MNEMOSYNE est plus orienté sur le développement de workflow bio-informatique que Etienne Frumence et qu'il aura du temps disponible pour éventuellement nous aider à mettre en place un pipeline bio-info avec l'aide d'une équipe de métropole (rdv demain pour discuter avec le bio-informaticien de microbiologie des possibilités pour l'hématologie)</t>
  </si>
  <si>
    <t>- j'ai contacté Mohamed KHETTAB (référent cancéro pour le CHU de La Réunion), il existe une convention avec l'IGR pour la cancérologie. J'ai contacté Dr Christophe MARZAC à l'IGR pour une éventuelle collaboration pour la bio-info mais pas de retour pour le moment. A ce sujet, Monsieur Lecardez avez-vous pu retrouver la convention?</t>
  </si>
  <si>
    <t>- bio-info externalisée  : je suis en attente d'un devis de Sophia Genetics (prestataire utilisé par le service de Génétique) pour le développement d'un panel maison et déploiement pipeline bio-info adapté (je devrais avoir un retour dans la semaine)</t>
  </si>
  <si>
    <t>-&gt; BIO-INFO:</t>
  </si>
  <si>
    <t>-&gt; MATERIEL: un thermocycleur pour faire les amplifications et un thermomixer pour les prétraitement des extractions ARN et paraffine ainsi qu'un logiciel d’analyse des séquences Sanger ont été acceptés par le bio-médical sur le PPI 2022 pour l'hémato. un 2ième séquenceur capillaire Seq Sudio a été validé au PPI 2022 pour la génétique qui servira de back-up et permettra d'absorber l'activité d'hématologie (en cours de commande).</t>
  </si>
  <si>
    <t>-&gt; LOCAUX: réunion prévue avec Marie-Christine JAFFAR pour l’organisation des locaux et paillasses sur la plateforme S3</t>
  </si>
  <si>
    <t>Mail Dr ZALMAI LORIA</t>
  </si>
  <si>
    <t xml:space="preserve">Dépenses </t>
  </si>
  <si>
    <t>Hypothèse2</t>
  </si>
  <si>
    <t>Recettes</t>
  </si>
  <si>
    <t>Actes RIHN</t>
  </si>
  <si>
    <t>mail du 28/02/2022</t>
  </si>
  <si>
    <t>Bonjour Docteur Zalmai,</t>
  </si>
  <si>
    <t>Voici en PJ la convention CHU-IGR.</t>
  </si>
  <si>
    <t>En effet, en l'état l'analyse bio-informatique n'est pas clairement prévue à la convention. Pour autant, il me semble bien que "dans l'esprit" de cette coopération, c'est tout à fait en alignement.</t>
  </si>
  <si>
    <t>Notamment, l'article 1.2 stipule bien que le périmètre actuel de la coopération est amendable par voie d'avenant.</t>
  </si>
  <si>
    <t>Compte tenu des avancées internes que vous évoquez dans votre mail du 28/02, je propose la démarche suivante :</t>
  </si>
  <si>
    <t>- revoir avec vous (le pôle - à préciser les secteurs concernés), mme Wadel et le Dr Khettab l'opportunité de proposer un avenant à l'IGR sur ce domaine de l'analyse bio-informatique; sous réserve qu'ils soient bien en capacité de nous aider dans ce domaine (ces compétences me semblent indispensables aux ambitions affichées dans leur plan stratégique cf. PJ - article Hospimédia)</t>
  </si>
  <si>
    <t>- parallèlement, si j'ai bien compris, compte tenu des volumes actuels, les ressources internes déjà disponibles peuvent accompagner le démarrage de votre activité et la structuration du lien avec un partenaire externe (IGR ou autre).</t>
  </si>
  <si>
    <t>- pour finaliser l'étude médico-technique en cours je propose une réunion de travail le jeudi  24 mars à 11h (au Nord dans vos locaux si possible). Nous compléterons les tableaux excel ci-joint datant de la dernière réunion projet du 01/02/22.</t>
  </si>
  <si>
    <t>Je reste à votre disposition</t>
  </si>
  <si>
    <t>Mail MARC LECARDEZ (16/03/2022)</t>
  </si>
  <si>
    <t>Bonjour Monsieur Lecardez,</t>
  </si>
  <si>
    <t>Je vous remercie de nous avoir transmis la convention.</t>
  </si>
  <si>
    <t>Lors de notre réunion avec Marie-Christine Jaffar sur l’organisation de la plateforme S3 (mardi 8 mars 2022) , les ressources bio-informatiques ont été discutées. Au vu de l’importante activité en microbiologie, elles semblent insuffisantes pour développer l'activité d'hématologie moléculaire.</t>
  </si>
  <si>
    <t>C'est bien noté pour la réunion de travail pour finaliser l'étude médico-économique. Je réserve la salle de réunion du labo au Nord (BSC, niveau 0) pour jeudi 24 mars à 11h. D'autre part, j'ai pu obtenir un devis de Sophia Genetics pour le développement d'un panel avec analyse bio-informatique externalisée, nous pourrons en discuter à ce moment là.</t>
  </si>
  <si>
    <t>mail Dr ZALMAI (16/03/2022)</t>
  </si>
  <si>
    <t>Activité actuelle</t>
  </si>
  <si>
    <t>thermocycleur</t>
  </si>
  <si>
    <t>organisation des locaux et paillasses sur plateforme S3</t>
  </si>
  <si>
    <t>=&gt; pas de travaux</t>
  </si>
  <si>
    <t>Bio-informaticien</t>
  </si>
  <si>
    <t>Voici les derniers éléments disponibles:</t>
  </si>
  <si>
    <t>-RESSOURCES HUMAINES:</t>
  </si>
  <si>
    <t>1 PH temps plein: 150000 euros/an</t>
  </si>
  <si>
    <t>4 techniciens: 4x670000 euros/an</t>
  </si>
  <si>
    <t>1 bioinformaticien mi-temps (0.5): 37500, dans l'hypothèse de réaliser l'analyse bio-informatique en local (partage avec la génétique, l'oncologie, l'anapath...), à discuter..;</t>
  </si>
  <si>
    <t>- MATERIELS ET EQUIPEMENTS:</t>
  </si>
  <si>
    <t>un thermocycleur: 5300 euros</t>
  </si>
  <si>
    <t>thermomixer: 4232.5 euros</t>
  </si>
  <si>
    <t>logiciel analyse séquences Sanger (Mutation surveyor): 6000 euros</t>
  </si>
  <si>
    <t>(thermocycleur, thermomixer et logiciel d'analyses des séquences: déjà validé dans le PPI 2022)</t>
  </si>
  <si>
    <t>jeux de pipettes: 5x210 euros soit: 1050 euros</t>
  </si>
  <si>
    <t>2 modules GeneXpert: en attente de devis</t>
  </si>
  <si>
    <t>un PC: coût?</t>
  </si>
  <si>
    <t>un frigo: coût?</t>
  </si>
  <si>
    <t>un congélateur: coût?</t>
  </si>
  <si>
    <t>- PANEL NGS myéloide maison avec bio-info externalisée chez Sophia Genetics:</t>
  </si>
  <si>
    <t>268 euros/échantillon (x200 échantillons) soit 53600 euros/an</t>
  </si>
  <si>
    <t>+ 17400 euros (design à façon): une fois au moment de la mise en place d'un panel maison</t>
  </si>
  <si>
    <t>Je vais remettre à jour le tableau étude médico-économique avec les dernières données.</t>
  </si>
  <si>
    <t>Mail dr ZALMAI (18/03/2022)</t>
  </si>
  <si>
    <t>1 PH</t>
  </si>
  <si>
    <t>Sous traitance examens</t>
  </si>
  <si>
    <t>Sous traitance Bio-informaticien</t>
  </si>
  <si>
    <t>Cout réactifs et consommable</t>
  </si>
  <si>
    <t>prd valoris 0,33</t>
  </si>
  <si>
    <t>rbse à 0,27</t>
  </si>
  <si>
    <t>Investissements</t>
  </si>
  <si>
    <t>T4 - Amortissement</t>
  </si>
  <si>
    <t>Cout extraction</t>
  </si>
  <si>
    <t>jeux de pipettes</t>
  </si>
  <si>
    <t>1 frigo</t>
  </si>
  <si>
    <t>1 congelateur</t>
  </si>
  <si>
    <t>4 techniciens</t>
  </si>
  <si>
    <t>T2 - Dépenses médicales</t>
  </si>
  <si>
    <t>Matériel Hôtelier</t>
  </si>
  <si>
    <t>Matériel Informatique</t>
  </si>
  <si>
    <t>economie en sous traitance</t>
  </si>
  <si>
    <t>Résultat</t>
  </si>
  <si>
    <t xml:space="preserve"> bioinf (sst)</t>
  </si>
  <si>
    <t>T1 - Personnel</t>
  </si>
  <si>
    <t>-</t>
  </si>
  <si>
    <t>'</t>
  </si>
  <si>
    <t>Tableau [5.D.AHCBHN] C - Date du traitement: 04/02/2022</t>
  </si>
  <si>
    <t>G60: SST</t>
  </si>
  <si>
    <t>Code AHN: Recueil pour les établissements demandeurs</t>
  </si>
  <si>
    <t>Répartition par code acte</t>
  </si>
  <si>
    <t>CHU DE LA REUNION (Finess=970408589)</t>
  </si>
  <si>
    <t>2021 M12 : année entière</t>
  </si>
  <si>
    <t>Code</t>
  </si>
  <si>
    <t>Libellé</t>
  </si>
  <si>
    <t>Liste</t>
  </si>
  <si>
    <t>Nb réalisés</t>
  </si>
  <si>
    <t>Nb réalisés par un laboratoire</t>
  </si>
  <si>
    <t>Montant facturé par un laboratoire</t>
  </si>
  <si>
    <t>Nb réalisés par un établissement</t>
  </si>
  <si>
    <t>Montant facturé par un établissement</t>
  </si>
  <si>
    <t>B034</t>
  </si>
  <si>
    <t>Hybridation sur puce à ADN (sans les vérifications)</t>
  </si>
  <si>
    <t>Liste Compléme</t>
  </si>
  <si>
    <t>E048</t>
  </si>
  <si>
    <t>Willebrand, protéase (ADAMTS 13) : activité</t>
  </si>
  <si>
    <t>E149</t>
  </si>
  <si>
    <t>Mise en évidence d'anomalies du cytosquelette du GR en cytométrie en flux</t>
  </si>
  <si>
    <t>G018</t>
  </si>
  <si>
    <t>Identification d'autres Ac anti-Ag nucléaires solubles SCL70, JO1, KU, PCNA, PMSCL, Mi2...</t>
  </si>
  <si>
    <t>G022</t>
  </si>
  <si>
    <t>Ac anti-cytoplasme : identification des anti-ARNt-synthétases et autres anti-Ag cytoplasmiques (autres que JO1)</t>
  </si>
  <si>
    <t>G027</t>
  </si>
  <si>
    <t>Ac anti-MuSK</t>
  </si>
  <si>
    <t>G036</t>
  </si>
  <si>
    <t>hépatopathies : Ac anti-SLA (Soluble Liver Antigen)</t>
  </si>
  <si>
    <t>G042</t>
  </si>
  <si>
    <t>M. de l'intestin : recherche des Ac anti-saccharomyces cerevisiae (ASCA) d'isotype IgA par ELISA</t>
  </si>
  <si>
    <t>G043</t>
  </si>
  <si>
    <t>M. de l'intestin : recherche des Ac anti-saccharomyces cerevisiae (ASCA) d'isotype IgG par ELISA</t>
  </si>
  <si>
    <t>G044</t>
  </si>
  <si>
    <t>Ac anti-Ag onco-neuronaux</t>
  </si>
  <si>
    <t>G049</t>
  </si>
  <si>
    <t>MAI du système nerveux périphérique : profil anti-gangliosides IgG (GM1, GM2, GM3, GD1a, GD1b, GD3, GT1a, GT1b, GQ1b)</t>
  </si>
  <si>
    <t>G052</t>
  </si>
  <si>
    <t>MAI du système nerveux périphérique : titrage des Ac anti-gangliosides GM1 d'isotype IgG</t>
  </si>
  <si>
    <t>G054</t>
  </si>
  <si>
    <t>MAI du système nerveux périphérique : titrage des Ac anti-MAG par ELISA</t>
  </si>
  <si>
    <t>G056</t>
  </si>
  <si>
    <t>MAI de peau : extraction et identification des Ac anti-épiderme par Western-blot</t>
  </si>
  <si>
    <t>G065</t>
  </si>
  <si>
    <t>Marquage cellulaire quelqu'il soit en cytométrie en flux (par Ac)</t>
  </si>
  <si>
    <t>G074</t>
  </si>
  <si>
    <t>PN : Explosion oxydative : cytométrie en flux</t>
  </si>
  <si>
    <t>G090</t>
  </si>
  <si>
    <t>Test Elispot sur PBMC</t>
  </si>
  <si>
    <t>G131</t>
  </si>
  <si>
    <t>Herpes 8 IgG ELISA</t>
  </si>
  <si>
    <t>G136</t>
  </si>
  <si>
    <t>HIV différenciation M1/2-0</t>
  </si>
  <si>
    <t>G154</t>
  </si>
  <si>
    <t>Auto-Ac anti-21-hydroxylase (par RIA)</t>
  </si>
  <si>
    <t>G156</t>
  </si>
  <si>
    <t>Auto-Ac anti-aquaporine de type 4</t>
  </si>
  <si>
    <t>G157</t>
  </si>
  <si>
    <t>Auto-Ac anti-NMDA</t>
  </si>
  <si>
    <t>G190</t>
  </si>
  <si>
    <t>Dosage des IgG anti-haemophilus (réponse vaccinale)</t>
  </si>
  <si>
    <t>G191</t>
  </si>
  <si>
    <t>Dosage des IgG anti-antigène capsulaire du pneumocoque (sérologie pneumococcique) (réponse vaccinale)</t>
  </si>
  <si>
    <t>G216</t>
  </si>
  <si>
    <t>Diphtérie : sérologie (par EIA)</t>
  </si>
  <si>
    <t>G229</t>
  </si>
  <si>
    <t>Titrage Ac Anti PLA2R</t>
  </si>
  <si>
    <t>I003</t>
  </si>
  <si>
    <t>Hormone Anti-Mullërienne (AMH)</t>
  </si>
  <si>
    <t>I017</t>
  </si>
  <si>
    <t>Hormones hypophysaires (sous-unité alpha des -)</t>
  </si>
  <si>
    <t>I047</t>
  </si>
  <si>
    <t>Métanéphrines plasmatiques libres (LC/MS/MS)</t>
  </si>
  <si>
    <t>I049</t>
  </si>
  <si>
    <t>17OH Progestérone (liquides biologiques autres que le sang)</t>
  </si>
  <si>
    <t>I050</t>
  </si>
  <si>
    <t>Delta 4 androstènedione (liquide autre que le sang)</t>
  </si>
  <si>
    <t>J011</t>
  </si>
  <si>
    <t>Créatine kinase (CK) isoenzymes</t>
  </si>
  <si>
    <t>K012</t>
  </si>
  <si>
    <t>Homocystéine totale (liquides biologiques)</t>
  </si>
  <si>
    <t>K032</t>
  </si>
  <si>
    <t>Dosage fonctionnel de C1 inhibiteur</t>
  </si>
  <si>
    <t>K048</t>
  </si>
  <si>
    <t>RBP (retinol binding protein) (dosage) (liquides biologiquesautres que le sang)</t>
  </si>
  <si>
    <t>K051</t>
  </si>
  <si>
    <t>Dosages sériques des chaines légères libres kappa et lambda (sérum)</t>
  </si>
  <si>
    <t>K088</t>
  </si>
  <si>
    <t>Vitamine B1 (thiamine diphosphate)</t>
  </si>
  <si>
    <t>K094</t>
  </si>
  <si>
    <t>Vitamine K1 (phylloquinone)</t>
  </si>
  <si>
    <t>K099</t>
  </si>
  <si>
    <t>Ferritine glycosylée</t>
  </si>
  <si>
    <t>K100</t>
  </si>
  <si>
    <t>Alpha-fœtoprotéine (AFP) (dosage) (liquides biologiques autres que sang, ponctions)</t>
  </si>
  <si>
    <t>K109</t>
  </si>
  <si>
    <t>TBG (Thyroxine Binding Globulin) (Sérum)</t>
  </si>
  <si>
    <t>K113</t>
  </si>
  <si>
    <t>Ac anti-T3 (Sérum)</t>
  </si>
  <si>
    <t>K114</t>
  </si>
  <si>
    <t>Ac anti-T4 (Sérum)</t>
  </si>
  <si>
    <t>K130</t>
  </si>
  <si>
    <t>Phénotypage de l'alpha 1 anti trypsine (focalisation isoélectrique)(sang)</t>
  </si>
  <si>
    <t>K157</t>
  </si>
  <si>
    <t>IgD (dosage en nephelemetrie) (sang)</t>
  </si>
  <si>
    <t>K162</t>
  </si>
  <si>
    <t>Protéine Amyloïde A (SAA)</t>
  </si>
  <si>
    <t>K181</t>
  </si>
  <si>
    <t>Coenzyme Q10</t>
  </si>
  <si>
    <t>K194</t>
  </si>
  <si>
    <t>C1q, C5, C6, C7, C8, C9, Facteur H, Facteur I, C4Bp, properdine, antigénémie</t>
  </si>
  <si>
    <t>K199</t>
  </si>
  <si>
    <t>Recherche et quantification d'anticorps anti-protéine du complément : anti-C1q, anti-C1inh ou anti-Facteur H</t>
  </si>
  <si>
    <t>L008</t>
  </si>
  <si>
    <t>Iode (sang)</t>
  </si>
  <si>
    <t>L009</t>
  </si>
  <si>
    <t>Manganèse (liquides biologiques)</t>
  </si>
  <si>
    <t>L010</t>
  </si>
  <si>
    <t>Sélénium (liquides biologiques)</t>
  </si>
  <si>
    <t>L017</t>
  </si>
  <si>
    <t>Cystatine C (sang)</t>
  </si>
  <si>
    <t>L041</t>
  </si>
  <si>
    <t>Acides biliaires totaux (liquides biologiques, ponctions)</t>
  </si>
  <si>
    <t>L053</t>
  </si>
  <si>
    <t>Citrate (sang)</t>
  </si>
  <si>
    <t>L072</t>
  </si>
  <si>
    <t>Iode urinaire (iodurie) (urines)</t>
  </si>
  <si>
    <t>L087</t>
  </si>
  <si>
    <t>Calprotectine fécale (selles)</t>
  </si>
  <si>
    <t>L178</t>
  </si>
  <si>
    <t>Oxalate</t>
  </si>
  <si>
    <t>M001</t>
  </si>
  <si>
    <t>Dosage d'un antibactérien non nomément inscrit par une méthode chromatographique dans un liquide biologique</t>
  </si>
  <si>
    <t>M002</t>
  </si>
  <si>
    <t>Dosage d'un antifongique par une méthode chomatographique dans un liquide biologique</t>
  </si>
  <si>
    <t>M004</t>
  </si>
  <si>
    <t>Dosage d'un antiviral autre qu'un antirétroviral par une méthode de chromatographie dans un liquide biologique</t>
  </si>
  <si>
    <t>M053</t>
  </si>
  <si>
    <t>Dosage d'un Ac monoclonal thérapeutique par une méthode autre que la cytométrie</t>
  </si>
  <si>
    <t>M100</t>
  </si>
  <si>
    <t>Dosage d'un antituberculeux par une méthode chromatographique dans un liquide biologique</t>
  </si>
  <si>
    <t>M101</t>
  </si>
  <si>
    <t>Génotypage du cytochrome P450 3A5 pour ajustement de la dose d'un traitement comprenant du tacrolimus en transplantation</t>
  </si>
  <si>
    <t>M103</t>
  </si>
  <si>
    <t>Génotypage de la thiopurine-s-méthyl-transférase (TPMT) pour ajustement de la dose d'un traitement comprenant un médicament thiopurinique</t>
  </si>
  <si>
    <t>M108</t>
  </si>
  <si>
    <t>Recherche, identification et dosage des composés d'une classe thérapeutique non nommément inscrite, par une méthode chromatographique dans un liquide biologique</t>
  </si>
  <si>
    <t>M109</t>
  </si>
  <si>
    <t>Recherche, identification et dosage des composés de la soumission chimique par des méthodes chromatographiques couplées à la spectrométrie de masse dans un liquide biologique</t>
  </si>
  <si>
    <t>M114</t>
  </si>
  <si>
    <t>Dosage spécifique d'une molécule non nommément inscrite par une méthode de chromatographie couplée à la spectrométrie de masse dans un liquide biologique</t>
  </si>
  <si>
    <t>M116</t>
  </si>
  <si>
    <t>Screening toxicologique comprenant au moins 200 molécules par une méthode de chromatographie avec identification de l'ensemble des molécules</t>
  </si>
  <si>
    <t>M117</t>
  </si>
  <si>
    <t>Screening toxicologique comprenant au moins 200 molécules par au moins 2 méthodes de chromatographie complémentaires avec identification de l'ensemble des molécules</t>
  </si>
  <si>
    <t>N005</t>
  </si>
  <si>
    <t>Sélection et préparation d'un échantillon tissulaire fixé et inclus en paraffine pour analyse de génétique somatique des cancers</t>
  </si>
  <si>
    <t>N006</t>
  </si>
  <si>
    <t>Sélection et préparation d'un échantillon tissulaire congelé pour analyse de génétique somatique des cancers</t>
  </si>
  <si>
    <t>N019</t>
  </si>
  <si>
    <t>Etude de la méthylation</t>
  </si>
  <si>
    <t>N037</t>
  </si>
  <si>
    <t>Diagnostic par southern ou Northern blot</t>
  </si>
  <si>
    <t>N134</t>
  </si>
  <si>
    <t>PCR classique ou temps réel qualitative simplex sur ADN infectieux (hors parasites et champignons)</t>
  </si>
  <si>
    <t>N139</t>
  </si>
  <si>
    <t>RT-PCR temps réel quantitative simplex en 1 étape ARN infectieux</t>
  </si>
  <si>
    <t>N140</t>
  </si>
  <si>
    <t>Forfait séquençage à partir de prélèvement de génome infectieux à ADN</t>
  </si>
  <si>
    <t>N144</t>
  </si>
  <si>
    <t>Détection protéine 14.3.3 dans LCR par western blot</t>
  </si>
  <si>
    <t>N318</t>
  </si>
  <si>
    <t>Recherche de réarrangements génomiques ciblés par Multiplex Ligation-dependent Probe Amplification (MLPA).</t>
  </si>
  <si>
    <t>N354</t>
  </si>
  <si>
    <t>Détection de mutations par expansion de microsatellites</t>
  </si>
  <si>
    <t>N400</t>
  </si>
  <si>
    <t>Recherche de clonalité B par locus</t>
  </si>
  <si>
    <t>Recherche de clonalité T par locus</t>
  </si>
  <si>
    <t>N420</t>
  </si>
  <si>
    <t>Séquençage d'une cible d'immunogénétique (Ig/TCR) lors du diagnsotic d'une leucémie aigue lymphoblastique ou d'un syndrome lymphoprolifératif</t>
  </si>
  <si>
    <t>N508</t>
  </si>
  <si>
    <t>Forfait mutationnel GIST (KIT/PDGFRA)</t>
  </si>
  <si>
    <t>N906</t>
  </si>
  <si>
    <t>Détection de mutations ponctuelles par Sanger</t>
  </si>
  <si>
    <t>P062</t>
  </si>
  <si>
    <t>Mesure d'une activité enzymatique par méthode spectrophotométrique ou spectrofluorométrique en l'absence de kit commercial</t>
  </si>
  <si>
    <t>P064</t>
  </si>
  <si>
    <t>Mesure d'une activité enzymatique par méthode spectrophotométrique ou spectrofluorométrique nécessitant une technique spécifique et/ou un substrat couteux</t>
  </si>
  <si>
    <t>B100</t>
  </si>
  <si>
    <t>Dépistage non invasif des anomalies chromosomiques par analyse de l'ADN fœtal circulant</t>
  </si>
  <si>
    <t>RIHN</t>
  </si>
  <si>
    <t>D100</t>
  </si>
  <si>
    <t>Etude de la qualité du noyau du spermatozoïde</t>
  </si>
  <si>
    <t>E033</t>
  </si>
  <si>
    <t>Facteur de croissance : VEGF</t>
  </si>
  <si>
    <t>E043</t>
  </si>
  <si>
    <t>Willebrand, activité inhibitrice (anti facteur Willebrand)</t>
  </si>
  <si>
    <t>E044</t>
  </si>
  <si>
    <t>Willebrand, analyse des multimères</t>
  </si>
  <si>
    <t>E056</t>
  </si>
  <si>
    <t>Alpha-2-antiplasmine, activité amidolytique</t>
  </si>
  <si>
    <t>E092</t>
  </si>
  <si>
    <t>Libération de sérotonine marquée inclus: isolement des plaquettes + marquage + stimulation + mesure Nota: différents inducteurs inclus (HNF,HBPM')</t>
  </si>
  <si>
    <t>E096</t>
  </si>
  <si>
    <t>Plasminogen activator inhibitor-1 (PAI-1), activité (dosage chromogénique)</t>
  </si>
  <si>
    <t>E110</t>
  </si>
  <si>
    <t>Temps de reptilase</t>
  </si>
  <si>
    <t>E201</t>
  </si>
  <si>
    <t>temps de thrombine</t>
  </si>
  <si>
    <t>E203</t>
  </si>
  <si>
    <t>Génotypage RHCE ET KEL fœtal non invasif par l'analyse de l'ADN fœtal circulant dans le sang maternel</t>
  </si>
  <si>
    <t>E204</t>
  </si>
  <si>
    <t>Mesure de longueur des télomères en cytométrie en flux par une technique de Flow-FISH</t>
  </si>
  <si>
    <t>G028</t>
  </si>
  <si>
    <t>Ac anti- titine</t>
  </si>
  <si>
    <t>G041</t>
  </si>
  <si>
    <t>Ac antirécepteur insuline</t>
  </si>
  <si>
    <t>G152</t>
  </si>
  <si>
    <t>Auto-Ac anti-ZnT8 en radioligand assay</t>
  </si>
  <si>
    <t>G179</t>
  </si>
  <si>
    <t>Etude du chimérisme (sur sang total ou moelle)</t>
  </si>
  <si>
    <t>G198</t>
  </si>
  <si>
    <t>MAI nso : Ac anti phospholipides (autres que ceux codifiés en 1460 et G023 et G024) IgG et IgM</t>
  </si>
  <si>
    <t>G215</t>
  </si>
  <si>
    <t>Infections Fongiques Invasives (IFI): recherche de béta-glucanes circulants</t>
  </si>
  <si>
    <t>I061</t>
  </si>
  <si>
    <t>Fibroblast Growth Factor 23 (plasma)</t>
  </si>
  <si>
    <t>K054</t>
  </si>
  <si>
    <t>Dosage d'une cytokine ou d'un récepteur de cytokines par ELISA (toute cytokine, tout récepteur)</t>
  </si>
  <si>
    <t>K077</t>
  </si>
  <si>
    <t>Peptide collagène III (p-III-p)</t>
  </si>
  <si>
    <t>K147</t>
  </si>
  <si>
    <t>Détection et/ou titration d'une sensibilisation à un anticorps monoclonal thérapeutique en ELISA</t>
  </si>
  <si>
    <t>K186</t>
  </si>
  <si>
    <t>Copeptine</t>
  </si>
  <si>
    <t>K193</t>
  </si>
  <si>
    <t>Progranuline (plasma et LCR)</t>
  </si>
  <si>
    <t>K302</t>
  </si>
  <si>
    <t>Human Epididymis 4 (sang)</t>
  </si>
  <si>
    <t>L139</t>
  </si>
  <si>
    <t>Protéine Tau et ses isoformes (phosphorylation (phospho-Tau), exon-spécifique, clivage..) en dosage individuel (tout liquide biologique)</t>
  </si>
  <si>
    <t>L140</t>
  </si>
  <si>
    <t>Peptide Amyloïde béta et ses isoformes (1-42, 1-40, 1-38, tronqué, PyroGlu, précurseur...) en dosage individuel (tout liquide biologique)</t>
  </si>
  <si>
    <t>M007</t>
  </si>
  <si>
    <t>Métaux et autres éléments : dosage multiélémentaire par spectrométrie de masse avec ionisation par plasma induit (icp-ms)</t>
  </si>
  <si>
    <t>M009</t>
  </si>
  <si>
    <t>Métal ou autre élément : dosage par spectrométrie d'émission atomique avec ionisation par plasma induit (icp-oes)</t>
  </si>
  <si>
    <t>N131</t>
  </si>
  <si>
    <t>PCR classique ou temps réel qualitative multiplex pour &lt; 10 couples d'amorces (ADN/ARN)</t>
  </si>
  <si>
    <t>N151</t>
  </si>
  <si>
    <t>Détection par PCR classique ou temps réel simplex de champignons ou parasites (hors diagnostic prénatal de la toxoplasmose et hors les microorganismes inscrits à la NABM)</t>
  </si>
  <si>
    <t>N155</t>
  </si>
  <si>
    <t>PCR classique ou temps réel quantitative multiplex pour &lt; 10 couples d'amorces (ADN/ARN)</t>
  </si>
  <si>
    <t>N314</t>
  </si>
  <si>
    <t>Forfait Tests fonctionnels ex vivo imposant de recourir à la mutagénèse dirigée ou à un clonage en minigène</t>
  </si>
  <si>
    <t>N350</t>
  </si>
  <si>
    <t>Forfait séquençage haut débit (NGS) &lt; 20 kb (cas index)</t>
  </si>
  <si>
    <t>N351</t>
  </si>
  <si>
    <t>Forfait séquençage haut débit (NGS) &gt; 20 kb et &lt; 100 kb (cas index)</t>
  </si>
  <si>
    <t>N352</t>
  </si>
  <si>
    <t>Forfait séquençage haut débit (NGS) &gt; 100 kb et &lt; 500 kb (cas index)</t>
  </si>
  <si>
    <t>N353</t>
  </si>
  <si>
    <t>Forfait recherche chez apparenté d'une mutation identifiée par NGS</t>
  </si>
  <si>
    <t>N408</t>
  </si>
  <si>
    <t>Recherche et/ou quantification au diagnotic par locus</t>
  </si>
  <si>
    <t>N421</t>
  </si>
  <si>
    <t>Recherche de la mutation du transcrit de fusion BCR-ABL1</t>
  </si>
  <si>
    <t>N451</t>
  </si>
  <si>
    <t>Quantification d'une cible d'oncogénétique somatique lors du diagnostic ou du suivi d'une leucémie ou d'un lymphome (ou Maladie Résiduelle)</t>
  </si>
  <si>
    <t>Forfait séquençage haut débit (NGS) &lt; 20 kb</t>
  </si>
  <si>
    <t>N453</t>
  </si>
  <si>
    <t>Forfait séquençage haut débit (NGS) &gt; 20 kb et &lt; 100 kb</t>
  </si>
  <si>
    <t>Forfait séquençage haut débit (NGS) &gt; 100 kb et &lt; 500 kb</t>
  </si>
  <si>
    <t>Forfait mutationnel syndromes myéloprolifératifs</t>
  </si>
  <si>
    <t>N457</t>
  </si>
  <si>
    <t>Forfait mutationnel syndromes lymphoprolifératifs et lymphomes non-Hodgkiniens</t>
  </si>
  <si>
    <t>N458</t>
  </si>
  <si>
    <t>Forfait mutationnel leucémies aigues lymphoblastiques</t>
  </si>
  <si>
    <t>Forfait mutationnel leucémies aigues myéloïdes</t>
  </si>
  <si>
    <t>N510</t>
  </si>
  <si>
    <t>Transcrit de fusion, chondrosarcome myxoïde (3 transcrits)</t>
  </si>
  <si>
    <t>N530</t>
  </si>
  <si>
    <t>Réarrangement du gène ALK</t>
  </si>
  <si>
    <t>N903</t>
  </si>
  <si>
    <t>PCR ADN simplex fluorescente et analyse sur séquenceur automatique</t>
  </si>
  <si>
    <t>N941</t>
  </si>
  <si>
    <t>Tableau [5.D.AHCBHN] D - Date du traitement: 04/02/2022</t>
  </si>
  <si>
    <t>Code AHN: Recueil pour les établissements demandeur</t>
  </si>
  <si>
    <t>Répartition par établissement producteur</t>
  </si>
  <si>
    <t>Finess Producteur</t>
  </si>
  <si>
    <t>Raison Sociale</t>
  </si>
  <si>
    <t>Montant</t>
  </si>
  <si>
    <t>CHU DE NICE</t>
  </si>
  <si>
    <t>INSTITUT PAOLI - CALMETTES</t>
  </si>
  <si>
    <t>AP-HM</t>
  </si>
  <si>
    <t>CLCC FRANÇOIS BACLESSE</t>
  </si>
  <si>
    <t>CHU DE DIJON</t>
  </si>
  <si>
    <t>CHU BREST</t>
  </si>
  <si>
    <t>CHR TOULOUSE</t>
  </si>
  <si>
    <t>CHU DE BORDEAUX</t>
  </si>
  <si>
    <t>CHU MONTPELLIER</t>
  </si>
  <si>
    <t>CHRU DE RENNES</t>
  </si>
  <si>
    <t>CHU DE TOURS</t>
  </si>
  <si>
    <t>CHU GRENOBLE</t>
  </si>
  <si>
    <t>CHU SAINT ETIENNE</t>
  </si>
  <si>
    <t>CHU DE NANTES</t>
  </si>
  <si>
    <t>CHRU ANGERS</t>
  </si>
  <si>
    <t>CHR DE REIMS</t>
  </si>
  <si>
    <t>CHRU DE NANCY</t>
  </si>
  <si>
    <t>CHRU DE LILLE</t>
  </si>
  <si>
    <t>CHU CLERMONT-FERRAND</t>
  </si>
  <si>
    <t>CHU DE STRASBOURG</t>
  </si>
  <si>
    <t>CENTRE LEON BERARD</t>
  </si>
  <si>
    <t>HOSPICES CIVILS DE LYON</t>
  </si>
  <si>
    <t>GROUPEMENT HOSPITALIER PARIS SAINT-JOSEPH</t>
  </si>
  <si>
    <t>CNO QUINZE VINGTS</t>
  </si>
  <si>
    <t>AP-HP</t>
  </si>
  <si>
    <t>CHU ROUEN</t>
  </si>
  <si>
    <t>CHU LIMOGES</t>
  </si>
  <si>
    <t>CLCC RENE HUGUENIN INSTITUT CURIE</t>
  </si>
  <si>
    <t>Récupération via FICHSUP</t>
  </si>
  <si>
    <t>kit et prestation intellectuelle sous traitée</t>
  </si>
  <si>
    <t>Bioinfo extern</t>
  </si>
  <si>
    <t>T3 - Dépenses hôtelieres</t>
  </si>
  <si>
    <t xml:space="preserve">Activités </t>
  </si>
  <si>
    <t>NB</t>
  </si>
  <si>
    <t>Impact sur les dépenses</t>
  </si>
  <si>
    <t>A valider/corriger avec le pôle</t>
  </si>
  <si>
    <t>Activité en nette augmentation avec l'activité d'hématologie moléculaire du CH de Mayotte, de la Clinique Sainte-Clotilde, du CHOR et de certains laboratoires de ville.
Echanges inter-laboratoires. Echange entre les laboratoires et service prescripteur (évite la multiplication des intervenants). Echanges entre les équipes de recherche et diagnostic.</t>
  </si>
  <si>
    <t>Drs Sophie BASTARD, Loria ZALMAÏ, Claire GONIN, Thomas HUBY, Franck Ah-Pine, Pr Bérénice Doray et Patrick MUNIER (non-médical)</t>
  </si>
  <si>
    <t>POLE BIOLOGIE/LABORATOIRES D'HEMATOLOGIE, DE GENETIQUE, DE  MICROBIOLOGIE et D'ANATOMOPATHOLOGIE</t>
  </si>
  <si>
    <t>PLATEFORME DE SEQUANCAGE INTER-SERVICE/SERVICE DE GENETIQUE</t>
  </si>
  <si>
    <t>MAXWELL RSC system</t>
  </si>
  <si>
    <t>QSep1</t>
  </si>
  <si>
    <t>Clonalité T</t>
  </si>
  <si>
    <t>Génétique : panel cancer sein ovaire</t>
  </si>
  <si>
    <t>124,2 par cible</t>
  </si>
  <si>
    <t>Hémato (3 cibles)</t>
  </si>
  <si>
    <t>Hémato (5 cibles)</t>
  </si>
  <si>
    <t>4 techniciens labo</t>
  </si>
  <si>
    <t>Installation, frais</t>
  </si>
  <si>
    <t>AR Metropole DU</t>
  </si>
  <si>
    <t>DU NGS / BIOINFO PM &amp; PNM</t>
  </si>
  <si>
    <t>Muco + 60 BRCA1/2 anapth</t>
  </si>
  <si>
    <t>42,1€/echantillon (reactif min) + 311€ (par echantillon= 353,1 hors amortissement</t>
  </si>
  <si>
    <t xml:space="preserve">Maintenance NextSeq + </t>
  </si>
  <si>
    <t>Rajouter B pour extraction 56€</t>
  </si>
  <si>
    <t>B</t>
  </si>
  <si>
    <t>Comptabiliser le coûts d'envoi</t>
  </si>
  <si>
    <t xml:space="preserve">Mise en place de l'anatomopathologie en 2024
</t>
  </si>
  <si>
    <t>Diminution des effets secondaires lié à une prise en charge rapide et un traitement personnalisé entraîne une diminution du temps d'hospitalisation et une orientation plus ambulatoire (impact positif sur la capacité)</t>
  </si>
  <si>
    <t>Perte de chance pour le patient, accroissement de l’inégalité d’accès au soin et retard de prise en charge pour les patients du au délai d'acheminement et des délais de rendu des résultats de biologie moléculaire. A noter qu'actuellement, nous faisons face à de sérieux problèmes récurrents d'acheminement des prélèvements (décongélation, analyses non réalisables suite aux délais d'acheminement trop longs en métropole), conduisant à reprélever les patients (compliqué lorsqu’il s'agit de prélever un myélogramme ou un LCR au patient). Perte de chance pour les prélèvements prénataux en cas de panne de l’appareil réalisant les ACPA. Retard de développement scientifique et technologique du CHU, perte d'attractivité pour le personnel, perte économique et enfin baisse de la qualité de la formation des soignants (ensemble du cursus médicale réalisé à la Réunion). Peu de visibilité au niveau de la recherche (baisse de l'impact Factor).</t>
  </si>
  <si>
    <t xml:space="preserve">Les évolutions technologiques constituent le principal moteur des avancées en médecine. Ces dernières années l'essor des techniques de biologie moléculaire et en particulier l'avènement du séquençage à haut débit ou séquençage de nouvelle génération (NGS: Next Generation Sequencing) a permis de révolutionner le parcours de soin et la prise en charge des patients. Cette technologie, aujourd'hui démocratisée dans la plupart des hôpitaux, trouve des applications dans l’ensemble des domaines de la biologie médicale (génétique constitutionnelle, microbiologie, virologie, oncologie, oncogénétique, hématologie...). 
Au CHU de La Réunion, le développement d’une telle plateforme, comportant l’acquisition d’un appareil NEXTSEQ550 ILLUMINA par le Service de Génétique et la mutualisation des équipements permettront à l’ensemble des disciplines et services/laboratoires de développer leurs activités cliniques et scientifiques. 
En oncologie le séquençage haut débit permet à chaque patient de réaliser un nombre d’analyses élevé et de considérer simultanément un éventail de marqueurs étiologiques, pronostiques et théranostiques permettant une optimisation des choix thérapeutiques pour une efficacité maximale des traitements et une limitation des effets secondaires graves parfois associés. Dans une démarche de médecine personnalisée, ces données de NGS sont décisives dans les choix thérapeutiques. Dans le cadre de ce projet, la prise en charge des patients atteints d’hémopathies malignes (cancer hématologique), telle que définie dans la classification de l’OMS, des services d’hématologie clinique adulte Nord-Sud nécessite le recours à ces analyses moléculaires. Cette prise en charge repose sur la confrontation des données d’hématologie cellulaire, d’anatomopathologie, de cytogénétique et de biologie moléculaire. De plus, ces analyses permettent la détection des sous-clones à l'origine de rechute de la maladie et la compréhension de l’architecture clonale des hémopathies malignes. Actuellement, la quasi-totalité des analyses d'hématologie moléculaire sont externalisées en France métropolitaine rallongeant les délais de rendu et entraînant une perte de chance pour les malades réunionnais avec comme corollaire une aggravation de l’inégalité d’accès aux soins. 
L'activité que nous souhaitons internaliser concerne l'hématologie de l'adulte soit 330 nouveaux diagnostics à La Réunion (sauf myélome). L'activité d'hématologie moléculaire sur une année comprend 200 NGS myéloïde, 116 NGS lymphoïde, 60 bilans de leucémies aigues myéloïdes (LAM), 90 bilans de syndromes myéloprolifératifs (SMP) et 70 bilans de clonalité lymphoïde. Ces actes font partie soit du RIHN (Référentiel des actes innovants hors nomenclature de biologie et d'anatomopathologie: NGS, bilan LAM, bilan SMP) soit de la liste complémentaire (clonalité lymphoïde). A savoir que la HAS a été chargée de réévaluer financièrement les actes de biologie médicale RIHN. Considérés comme innovants il y a quelques années, ils font désormais partie de la pratique courante pour le diagnostic ou le suivi d'hémopathie maligne. 
Un autre domaine de la cancérologie qui pourrait bénéficier de ce projet est celui de l’anatomopathologie. En effet le choix de la plateforme et de ces équipements prévoit également la future intégration de panels d’études des tumeurs du laboratoire d’anatomopathologie dont les demandes sont croissantes (Nord et Sud ~350-400 prescriptions annuelles). L’intégration de ce service permettrait de renforcer les échanges interdisciplinaires avec les laboratoires d’hématologie et de génétique dont les activités sont étroitement liées et par conséquent améliorer la prise en charge des patients.
En génétique constitutionnelle, l’activité va concerner d’une part l’exploration moléculaire de la mucoviscidose et d’autre part celle des cancers du sein et de l’ovaire qui représentent une part importante des examens extériorisés du service de génétique (~650 examens par an). Nous souhaitons, par ailleurs, en cohérence avec l’objectif de faire du CHU de La Réunion un acteur majeur de prévention et de prise en charge du diabète, en lien avec l’Université de La Réunion, l’ARS Réunion, la CGSS et la Région Réunion réaliser l’analyse génétique de cette pathologie. 
En effet, la prévalence des patients diagnostiqués diabétiques de type 2 avant 40 ans est importante sur notre île. Environ 400 cas par an nouvellement traités en 2010 d’après l’étude réalisée par la CGSS.  Ce diabète évoluant plus rapidement et plus sévèrement. La plupart de ces patients sont susceptibles de porter une mutation génétique ou des polymorphismes à l’origine du diabète.  Certaines de ces mutations sont spécifiques de la population Réunionnaise. Actuellement, seule une trentaine de prélèvements sont analysés par an, à l’APHP. Ce chiffre s’explique par la méconnaissance de l’intérêt de l’analyse génétique dans la population et chez les professionnels, mais également en raison des critères d’indications d’analyse de nos collègues métropolitains qui ne sont pas adaptés à la population Réunionnaise. On estime à partir de ces données qu’environ 300 cas devraient être analysés annuellement (patients et apparentés familiaux).
Le coût de ces analyses (mucoviscidose, diabète, hémopathie,  anatomopathologie et oncogénétique) sur une année est évalué à 2 855 450 (+ diabète) euros pour le CHU de La Réunion. Les remboursements via FICHSUP étant de 50% (1 427 725 €) la perte pour l’hôpital s’élève à 1 427 725 €. L'étude médico-économique établie (cf. fichier joint) révèle qu'une économie d'environ 150000 € pourrait être réalisée si ces analyses étaient faites sur la plateforme. 
En dehors de l’apport diagnostique strict, doit être considérée également l’utilité du séquenceur comme dispositif de remplacement (« Back up ») de certains de nos appareils : pour l’analyse chromosomique sur puce ADN (ACPA) réalisée au laboratoire de génétique aucun dispositif de remplacement n’est susceptible d’assurer le relais en cas de panne. Outre les surcoûts (540€ chez Biomnis) qu’entraînerait le déchargement de ces échantillons l’augmentation du délai de rendu et les risques de perte ou de dégradation des échantillons sont des facteurs supplémentaires à considérer. Il est à noter qu’environ 50% de ces analyses concernent des prélèvements prénataux pour lesquels la qualité de prise en charge est directement impactée par le délai de rendu (~50% des demandes 2020-2022). De plus, une grande partie des prélèvements prénataux traités en ACPA sont adressés par la maternité du CH Mayotte, maternité enregistrant le plus de naissance par an en France. Cette acquisition permettrait donc de sécuriser la plateforme d’ACPA au service des patients. 
Outre les bénéfices cliniques, qui justifient aujourd’hui pleinement ce projet, l’acquisition du NGS haut débit permettra de renforcer la chaîne de la biologie intégrative en allant de l’exploration moléculaire jusqu’à la thérapeutique.  Parmi les maillons de cette chaine on peut citer la constitution de base de données clinico-biologiques, support indispensable à la conduction d’études épidémiologiques, l’étude de facteurs épigénétiques comme la méthylation de l’ADN (PhD : Troubles du Spectre de l’Alcoolisation Foetale) ou le séquençage de l’ARN (étude fonctionnelle) et donc permettre le développement d’activités scientifiques à forte valeur ajoutée. 
La mise en place de ce projet et l’accès à ces équipements s’intègrent ainsi pleinement dans le cadre du développement de notre Centre Hospitalier Universitaire, dans ses missions de soins, d’enseignement auprès des étudiants et des personnels, de recherche en lien avec les équipes universitaires, mais aussi son besoin d’attractivité au national et à l’international. 
Dans un contexte où le nombre de demandes d’analyse moléculaire en médecine génomique est en plein essor, l’acquisition d’une telle plateforme de séquençage permettra d'assurer les activités diagnostiques et scientifiques de la biologie moléculaire au sein des différents laboratoires du CHU de la Réunion. Ce projet ne pourra être mis en œuvre qu'avec l'appui des services de Direction pour recruter les ressources humaines nécessaires et acquérir les équipements adaptés pour résoudre toutes les problématiques actuels et dimensionnés aux volumes d’analyses actuels et futurs (ex : future intégration de l’anatomopathologie, évolution des panels). 
Les enjeux sont multiples avec des bénéfices attendus pour la prise en charge des patients et l’épanouissement scientifique des équipes de recherche. La participation au développement de la médecine génomique et de précision représente également un enjeu technologique intéressant. Enfin, ce projet est éminemment économique comme détaillé dans la fiche de projet ci-joint. </t>
  </si>
  <si>
    <t xml:space="preserve">L’objectif est l’internalisation des activités d’oncologie (oncogénétique constitutionnelle, hématologie moléculaire, anatomopathologie) et de génétique constitutionnelle (mucoviscidose, diabète de type 2) actuellement envoyées en métropole. La première étape du projet portera sur l'internalisation des examens de biologie moléculaire des hémopathies malignes de l'adulte qui concerne 330 nouveaux diagnostics à la Réunion (sauf myélome),  celle d’oncogénétique d’environ 500 demandes par an, celle de génétique constitutionnelle (~160 mucoviscidose et ~30 diabète). Dans un second temps, sera internalisée l’activité d’anatomopathologie qui représente 350 à 400 prélèvements par an. A noter que certaines analyses réalisées sur le site Sud (mutations FLT3, NPM1) utilisent une technique non recommandée par les protocoles thérapeutiques et doivent être transférées sur le site Nord pour bénéficier de la technologie de séquençage capillaire. Valorisation de la plateforme par les équipes de recherche de génétique (méthylation, RNASeq, miRNAseq…) et par celles de microbiologie (épidémiologie). </t>
  </si>
  <si>
    <t xml:space="preserve">L’objectif est l’internalisation des activités d’oncologie (oncogénétique constitutionnelle, hématologie moléculaire, anatomopathologie) et de génétique constitutionnelle (mucoviscidose, diabète de type 2) actuellement envoyées en métropole. La première étape du projet portera sur l'internalisation des examens de biologie moléculaire des hémopathies malignes de l'adulte qui concerne 330 nouveaux diagnostics à la Réunion (sauf myélome),  celle d’oncogénétique d’environ 500 demandes par an, celle de génétique constitutionnelle (~160 mucoviscidose et ~30 diabète). Dans un second temps, sera internalisée l’activité d’anatomopathologie qui représente 350 à 400 prélèvements par an. A noter que certaines analyses réalisées sur le site Sud (mutations FLT3, NPM1) utilisent une technique non recommandée par les protocoles thérapeutiques et doivent être transférées sur le site Nord pour bénéficier de la technologie de séquençage capillaire. Valorisation de la plateforme par les équipes de recherche de génétique (méthylation, RNASeq, miRNAseq…) et par celles de microbiologie (épidémiologie). 
</t>
  </si>
  <si>
    <t xml:space="preserve">Une prise en charge plus rapide et plus adaptée des patients en diminuant les délais de rendu de résultats permettant d'instaurer ou d'ajuster plus rapidement les traitements (antidiabétique, chimiothérapie ou thérapie ciblée...). De plus actuellement, les problèmes d'acheminement (dégradation des prélèvements, délai de transport trop long) en métropole sont beaucoup trop récurrents et ralentissent la prise en charge des patients et parfois amènent à faire prélever à nouveau le patient pour des prélèvements invasifs (myélogramme, LCR). Cette acquisition permettra d’assurer la prise en charge des échantillons, extrêmement urgents comme les tests prénataux, même en cas de panne de l’appareil d’ACPA. 
</t>
  </si>
  <si>
    <t xml:space="preserve">Les évolutions technologiques constituent le principal moteur des avancées en médecine. Ces dernières années l'essor des techniques de biologie moléculaire et en particulier l'avènement du séquençage à haut débit ou séquençage de nouvelle génération (NGS: Next Generation Sequencing) a permis de révolutionner le parcours de soin et la prise en charge des patients. Cette technologie, aujourd'hui démocratisée dans la plupart des hôpitaux, trouve des applications dans l’ensemble des domaines de la biologie médicale (génétique constitutionnelle, microbiologie, virologie, oncologie, oncogénétique, hématologie...). 
Au CHU de La Réunion, le développement d’une telle plateforme, comportant l’acquisition d’un appareil NEXTSEQ550 ILLUMINA par le Service de Génétique et la mutualisation des équipements permettront à l’ensemble des disciplines et services/laboratoires de développer leurs activités cliniques et scientifiques. 
En oncologie le séquençage haut débit permet à chaque patient de réaliser un nombre d’analyses élevé et de considérer simultanément un éventail de marqueurs étiologiques, pronostiques et théranostiques permettant une optimisation des choix thérapeutiques pour une efficacité maximale des traitements et une limitation des effets secondaires graves parfois associés. Dans une démarche de médecine personnalisée, ces données de NGS sont décisives dans les choix thérapeutiques. Dans le cadre de ce projet, la prise en charge des patients atteints d’hémopathies malignes (cancer hématologique), telle que définie dans la classification de l’OMS, des services d’hématologie clinique adulte Nord-Sud nécessite le recours à ces analyses moléculaires. Cette prise en charge repose sur la confrontation des données d’hématologie cellulaire, d’anatomopathologie, de cytogénétique et de biologie moléculaire. De plus, ces analyses permettent la détection des sous-clones à l'origine de rechute de la maladie et la compréhension de l’architecture clonale des hémopathies malignes. Actuellement, la quasi-totalité des analyses d'hématologie moléculaire sont externalisées en France métropolitaine rallongeant les délais de rendu et entraînant une perte de chance pour les malades réunionnais avec comme corollaire une aggravation de l’inégalité d’accès aux soins. 
L'activité que nous souhaitons internaliser concerne l'hématologie de l'adulte soit 330 nouveaux diagnostics à La Réunion (sauf myélome). L'activité d'hématologie moléculaire sur une année comprend 200 NGS myéloïde, 116 NGS lymphoïde, 60 bilans de leucémies aigues myéloïdes (LAM), 90 bilans de syndromes myéloprolifératifs (SMP) et 70 bilans de clonalité lymphoïde. Ces actes font partie soit du RIHN (Référentiel des actes innovants hors nomenclature de biologie et d'anatomopathologie: NGS, bilan LAM, bilan SMP) soit de la liste complémentaire (clonalité lymphoïde). A savoir que la HAS a été chargée de réévaluer financièrement les actes de biologie médicale RIHN. Considérés comme innovants il y a quelques années, ils font désormais partie de la pratique courante pour le diagnostic ou le suivi d'hémopathie maligne. 
Un autre domaine de la cancérologie qui pourrait bénéficier de ce projet est celui de l’anatomopathologie. En effet le choix de la plateforme et de ces équipements prévoit également la future intégration de panels d’études des tumeurs du laboratoire d’anatomopathologie dont les demandes sont croissantes (Nord et Sud ~350-400 prescriptions annuelles). L’intégration de ce service permettrait de renforcer les échanges interdisciplinaires avec les laboratoires d’hématologie et de génétique dont les activités sont étroitement liées et par conséquent améliorer la prise en charge des patients.
En génétique constitutionnelle, l’activité va concerner d’une part l’exploration moléculaire de la mucoviscidose et d’autre part celle des cancers du sein et de l’ovaire qui représentent une part importante des examens extériorisés du service de génétique (~650 examens par an). Nous souhaitons, par ailleurs, en cohérence avec l’objectif de faire du CHU de La Réunion un acteur majeur de prévention et de prise en charge du diabète, en lien avec l’Université de La Réunion, l’ARS Réunion, la CGSS et la Région Réunion réaliser l’analyse génétique de cette pathologie. 
En effet, la prévalence des patients diagnostiqués diabétiques de type 2 avant 40 ans est importante sur notre île. Environ 400 cas par an nouvellement traités en 2010 d’après l’étude réalisée par la CGSS.  Ce diabète évoluant plus rapidement et plus sévèrement. La plupart de ces patients sont susceptibles de porter une mutation génétique ou des polymorphismes à l’origine du diabète.  Certaines de ces mutations sont spécifiques de la population Réunionnaise. Actuellement, seule une trentaine de prélèvements sont analysés par an, à l’APHP. Ce chiffre s’explique par la méconnaissance de l’intérêt de l’analyse génétique dans la population et chez les professionnels, mais également en raison des critères d’indications d’analyse de nos collègues métropolitains qui ne sont pas adaptés à la population Réunionnaise. On estime à partir de ces données qu’environ 300 cas devraient être analysés annuellement (patients et apparentés familiaux).
Le coût de ces analyses (mucoviscidose, diabète, hémopathie,  anatomopathologie et oncogénétique) sur une année est évalué à 2 855 450 (+ diabète) euros pour le CHU de La Réunion. Les remboursements via FICHSUP étant de 50% (1 427 725 €) la perte pour l’hôpital s’élève à 1 427 725 €. L'étude médico-économique établie (cf. fichier joint) révèle qu'une économie d'environ 150000 € pourrait être réalisée si ces analyses étaient faites sur la plateforme. 
En dehors de l’apport diagnostique strict, doit être considérée également l’utilité du séquenceur comme dispositif de remplacement (« Back up ») de certains de nos appareils : pour l’analyse chromosomique sur puce ADN (ACPA) réalisée au laboratoire de génétique aucun dispositif de remplacement n’est susceptible d’assurer le relais en cas de panne. Outre les surcoûts (540€ chez Biomnis) qu’entraînerait le déchargement de ces échantillons l’augmentation du délai de rendu et les risques de perte ou de dégradation des échantillons sont des facteurs supplémentaires à considérer. Il est à noter qu’environ 50% de ces analyses concernent des prélèvements prénataux pour lesquels la qualité de prise en charge est directement impactée par le délai de rendu (~50% des demandes 2020-2022). De plus, une grande partie des prélèvements prénataux traités en ACPA sont adressés par la maternité du CH Mayotte, maternité enregistrant le plus de naissance par an en France. Cette acquisition permettrait donc de sécuriser la plateforme d’ACPA au service des patients. 
Outre les bénéfices cliniques, qui justifient aujourd’hui pleinement ce projet, l’acquisition du NGS haut débit permettra de renforcer la chaîne de la biologie intégrative en allant de l’exploration moléculaire jusqu’à la thérapeutique.  Parmi les maillons de cette chaine on peut citer la constitution de base de données clinico-biologiques, support indispensable à la conduction d’études épidémiologiques, l’étude de facteurs épigénétiques comme la méthylation de l’ADN (PhD : Troubles du Spectre de l’Alcoolisation Foetale) ou le séquençage de l’ARN (étude fonctionnelle) et donc permettre le développement d’activités scientifiques à forte valeur ajoutée. 
La mise en place de ce projet et l’accès à ces équipements s’intègrent ainsi pleinement dans le cadre du développement de notre Centre Hospitalier Universitaire, dans ses missions de soins, d’enseignement auprès des étudiants et des personnels, de recherche en lien avec les équipes universitaires, mais aussi son besoin d’attractivité au national et à l’international. 
Dans un contexte où le nombre de demandes d’analyse moléculaire en médecine génomique est en plein essor, l’acquisition d’une telle plateforme de séquençage permettra d'assurer les activités diagnostiques et scientifiques de la biologie moléculaire au sein des différents laboratoires du CHU de la Réunion. Ce projet ne pourra être mis en œuvre qu'avec l'appui des services de Direction pour recruter les ressources humaines nécessaires et acquérir les équipements adaptés pour résoudre toutes les problématiques actuels et dimensionnés aux volumes d’analyses actuels et futurs (ex : future intégration de l’anatomopathologie, évolution des panels). 
Les enjeux sont multiples avec des bénéfices attendus pour la prise en charge des patients et l’épanouissement scientifique des équipes de recherche. La participation au développement de la médecine génomique et de précision représente également un enjeu technologique intéressant. Enfin, ce projet est éminemment économique comme détaillé dans la fiche de projet ci-joint. 
</t>
  </si>
  <si>
    <t>Le projet prendra lieu au sein du service de génétique et de la plateforme de séquençage situés sur le site Nord du CHU de La Réunion (S1, service de génétique &amp; S3, niveau 3 de la passerelle).</t>
  </si>
  <si>
    <t>Repérage précoce des sujets à risque de développer un diabète afin de mettre en place un suivi hygiéno-diététique approprié ; adaptation du traitement anti-diabétique chez les patients mutés compte tenu de la sévérité accrue de ces formes génétiques.
Décision thérapeutique plus rapide permettant une diminution du délai de prise en charge des patients atteints d'hémopathies malignes ou de cancer du sein et de l’ovaire. Raccourcissement du temps d’hospitalisation.</t>
  </si>
  <si>
    <t xml:space="preserve">Mutualisation possible des panels/demandes de génétique – hémato. Echange interdisciplinaire entre les différents laboratoires </t>
  </si>
  <si>
    <t>Hématologie NGS</t>
  </si>
  <si>
    <t>cout Total/echt</t>
  </si>
  <si>
    <t>cout RIHN/echt</t>
  </si>
  <si>
    <t>Devis non contractuel en anexe</t>
  </si>
  <si>
    <t>Cout RH</t>
  </si>
  <si>
    <t>(418 000 /1617 echt hors échantillions ANAPATH)</t>
  </si>
  <si>
    <t>Amorticement matériel</t>
  </si>
  <si>
    <t>(96 036/ 5ans /1617 echt hors échantillions ANAPATH)</t>
  </si>
  <si>
    <t>reboursement fichsup</t>
  </si>
  <si>
    <t>Marge</t>
  </si>
  <si>
    <t>NGS myéloïde commercial</t>
  </si>
  <si>
    <t>Génétique NGS</t>
  </si>
  <si>
    <t>NGS panel commercial cancer seins ovaire</t>
  </si>
  <si>
    <t>prix marché négocié jusqu'en 2024</t>
  </si>
  <si>
    <t>flow cell (24 echt)</t>
  </si>
  <si>
    <t>NGS sein ovaire commercial</t>
  </si>
  <si>
    <t>NGS panel commercial Diabéte</t>
  </si>
  <si>
    <t>NGS Diabéte commercial</t>
  </si>
  <si>
    <t>NGS panel commercial mucovicidose</t>
  </si>
  <si>
    <t>flow cell (48 echt)</t>
  </si>
  <si>
    <t>NGS Mucovicidose commercial</t>
  </si>
  <si>
    <t>Anapath NGS</t>
  </si>
  <si>
    <t>NGS panel commercial tumeur Solide</t>
  </si>
  <si>
    <t>NGS tumeur solide commercial</t>
  </si>
  <si>
    <t>TOTAL COÛT NGS €</t>
  </si>
  <si>
    <t>TOTAL RIHN NGS €</t>
  </si>
  <si>
    <t>reboursement fichsup €</t>
  </si>
  <si>
    <t>Marge TOTAL NGS € (fichsup - total coût ngs)</t>
  </si>
  <si>
    <t>COÛT fixe autres dépenses annuelle</t>
  </si>
  <si>
    <t xml:space="preserve">FORMATIONS </t>
  </si>
  <si>
    <t>MAINTENANCE</t>
  </si>
  <si>
    <t>MODIFICATION PANEL</t>
  </si>
  <si>
    <t>Marge TOTAL NGS</t>
  </si>
  <si>
    <t>Economie réalysé pour l'hopital</t>
  </si>
  <si>
    <t>Marge réalysé pour l'hopital</t>
  </si>
  <si>
    <t>Coût par échantillon</t>
  </si>
  <si>
    <t>Nb d'échantillon * coût</t>
  </si>
  <si>
    <t>Amortissement matériel</t>
  </si>
  <si>
    <t>Réactifs et consommables LABO</t>
  </si>
  <si>
    <t>Recettes FICHSUP (taux à 50%)</t>
  </si>
  <si>
    <t>Autres : Modification PANEL</t>
  </si>
  <si>
    <t>Calculateur de prêt simple</t>
  </si>
  <si>
    <t>Frais financiers</t>
  </si>
  <si>
    <t>Entrez des valeurs</t>
  </si>
  <si>
    <t>Montant du prêt</t>
  </si>
  <si>
    <t>Taux d’intérêt annuel</t>
  </si>
  <si>
    <t>Durée du prêt en années</t>
  </si>
  <si>
    <t>Date de début du prêt</t>
  </si>
  <si>
    <t>Paiement mensuel</t>
  </si>
  <si>
    <t>Nombre de paiements</t>
  </si>
  <si>
    <t>Total des intérêts</t>
  </si>
  <si>
    <t>intérêts moyenne par an</t>
  </si>
  <si>
    <t>Coût total du prêt</t>
  </si>
  <si>
    <t>N°</t>
  </si>
  <si>
    <t>Paiement
Date</t>
  </si>
  <si>
    <t>Début
Solde</t>
  </si>
  <si>
    <t>Paiement</t>
  </si>
  <si>
    <t>Capital</t>
  </si>
  <si>
    <t>Intérêts</t>
  </si>
  <si>
    <t>Fin
Solde</t>
  </si>
  <si>
    <t>valeur des investissements en Biomédical</t>
  </si>
  <si>
    <t>tarif unit</t>
  </si>
  <si>
    <t>coeft</t>
  </si>
  <si>
    <t>A verif avec INLOG</t>
  </si>
  <si>
    <t>ts labos confonfus (mais apres verif c q Hémati est-ce la Génétique</t>
  </si>
  <si>
    <t>recettes-dep</t>
  </si>
  <si>
    <t>4: 2 ETP en Hématologie (donc 1 déjà pourvu sur un poste de départ en retraite qui est conservé et réorienté) et la génétique 2 ETP.</t>
  </si>
  <si>
    <t xml:space="preserve">Dep caract Med: </t>
  </si>
  <si>
    <t>Si sous-traitance totale</t>
  </si>
  <si>
    <t>Sous traitance NGS</t>
  </si>
  <si>
    <t>Sous traitance Interprétation</t>
  </si>
  <si>
    <t>sous traitance Interprétation</t>
  </si>
  <si>
    <t>sous traitance NGS</t>
  </si>
  <si>
    <t>inclus ?</t>
  </si>
  <si>
    <t>recettes FICHSUP</t>
  </si>
  <si>
    <t>Projections 2022</t>
  </si>
  <si>
    <t>hors Anapath</t>
  </si>
  <si>
    <t>a fin sept- moins 2 mois</t>
  </si>
  <si>
    <t>Projection projet</t>
  </si>
  <si>
    <t>Hémato + Anapath + diabète ( dont 300 diabète plus elevé en échantillon)</t>
  </si>
  <si>
    <t>Modif panel</t>
  </si>
  <si>
    <t>Sous traitance Sophia Génétics - a retirer car inclus ds prestation (158 485€ )</t>
  </si>
  <si>
    <t>Faut-il la rajouter=&gt; en cours de demande</t>
  </si>
  <si>
    <t>Si ajout N404</t>
  </si>
  <si>
    <t>coeff</t>
  </si>
  <si>
    <t>rihn</t>
  </si>
  <si>
    <t>cout echant</t>
  </si>
  <si>
    <t>cout reactifs</t>
  </si>
  <si>
    <t>Si ajout N459</t>
  </si>
  <si>
    <t>Si ajout N455</t>
  </si>
  <si>
    <t>Bonjour Muriel</t>
  </si>
  <si>
    <t>Merci pour ce premier travail</t>
  </si>
  <si>
    <t>Je me permet plusieurs remarques :</t>
  </si>
  <si>
    <t>Il me semble que pour le PNM il n’y a que 3 recrutements de Techniciens de laboratoires et un redéploiement d’un autre labo.</t>
  </si>
  <si>
    <t>Je n’ai pas l’impression d’avoir vu les charges indirectes sur cette activité.</t>
  </si>
  <si>
    <t>Je pense qu’il est nécessaire d’intégrer les frais financiers dans l’étude.</t>
  </si>
  <si>
    <t>Enfin je pense qu’il faut faire également apparaître l’impact financier de la réduction de l’externalisation en charges comme en produits.</t>
  </si>
  <si>
    <t>Maxime</t>
  </si>
  <si>
    <t>MV (mail du 16/11/2021)</t>
  </si>
  <si>
    <t>Bonjour Muriel,</t>
  </si>
  <si>
    <t>Je vous confirme le souhait de l'hématologie de conserver l'ensemble des analyses N404, N455 et N459 dans la fiche projet.</t>
  </si>
  <si>
    <t>Je reste à votre disposition pour tout complément d'information,</t>
  </si>
  <si>
    <t>Bien cordialement,</t>
  </si>
  <si>
    <t>TH (mail du 22/11/2022)</t>
  </si>
  <si>
    <t>rihn (*5 cibles)</t>
  </si>
  <si>
    <t>rihn (*3 cibles)</t>
  </si>
  <si>
    <t>==&gt; économie sur les dépenses du CHU</t>
  </si>
  <si>
    <t>==&gt; la recette ne change pas en sous-traitance ou production (déclaration FICHSUP)</t>
  </si>
  <si>
    <t>Biologie moléculaire - Plateforme NGS : réinternalisation des examens</t>
  </si>
  <si>
    <t>impact PROJET sur les Dépenses</t>
  </si>
  <si>
    <t>impact PROJET sur les Recettes</t>
  </si>
  <si>
    <t>Onco Hématologie</t>
  </si>
  <si>
    <t>Actuellement la plateforme n'a pas d'agent d'entretiens</t>
  </si>
  <si>
    <t>gestion documentaire</t>
  </si>
  <si>
    <t>NextSeq 1000</t>
  </si>
  <si>
    <t>réactifs et consommables</t>
  </si>
  <si>
    <t>Charges Indirectes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</si>
</sst>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8" formatCode="#,##0.00\ &quot;€&quot;_);[Red]\(#,##0.00\ &quot;€&quot;\)"/>
    <numFmt numFmtId="164" formatCode="#,##0\ &quot;€&quot;;\-#,##0\ &quot;€&quot;"/>
    <numFmt numFmtId="165" formatCode="_-* #,##0\ &quot;€&quot;_-;\-* #,##0\ &quot;€&quot;_-;_-* &quot;-&quot;\ &quot;€&quot;_-;_-@_-"/>
    <numFmt numFmtId="166" formatCode="_-* #,##0.00\ &quot;€&quot;_-;\-* #,##0.00\ &quot;€&quot;_-;_-* &quot;-&quot;??\ &quot;€&quot;_-;_-@_-"/>
    <numFmt numFmtId="167" formatCode="_-* #,##0.00\ _€_-;\-* #,##0.00\ _€_-;_-* &quot;-&quot;??\ _€_-;_-@_-"/>
    <numFmt numFmtId="168" formatCode="#,##0\ &quot;€&quot;"/>
    <numFmt numFmtId="169" formatCode="#,##0_ ;\-#,##0\ "/>
    <numFmt numFmtId="170" formatCode="_-* #,##0\ &quot;€&quot;_-;\-* #,##0\ &quot;€&quot;_-;_-* &quot;-&quot;??\ &quot;€&quot;_-;_-@_-"/>
    <numFmt numFmtId="171" formatCode="_-* #,##0\ [$€-40C]_-;\-* #,##0\ [$€-40C]_-;_-* &quot;-&quot;??\ [$€-40C]_-;_-@_-"/>
    <numFmt numFmtId="172" formatCode="#,##0;\-\ #,##0;"/>
    <numFmt numFmtId="173" formatCode="#,##0.000"/>
    <numFmt numFmtId="174" formatCode="\+0;\-0"/>
    <numFmt numFmtId="175" formatCode="_-* #,##0.00\ [$€-40C]_-;\-* #,##0.00\ [$€-40C]_-;_-* &quot;-&quot;??\ [$€-40C]_-;_-@_-"/>
    <numFmt numFmtId="176" formatCode="_-* #,##0.0\ _€_-;\-* #,##0.0\ _€_-;_-* &quot;-&quot;??\ _€_-;_-@_-"/>
    <numFmt numFmtId="177" formatCode="_-* #,##0\ _€_-;\-* #,##0\ _€_-;_-* &quot;-&quot;??\ _€_-;_-@_-"/>
  </numFmts>
  <fonts count="102" x14ac:knownFonts="1">
    <font>
      <sz val="11"/>
      <color theme="1"/>
      <name val="Calibri"/>
      <family val="2"/>
      <scheme val="minor"/>
    </font>
    <font>
      <sz val="10"/>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0"/>
      <name val="Arial"/>
      <family val="2"/>
    </font>
    <font>
      <b/>
      <sz val="10"/>
      <name val="Arial"/>
      <family val="2"/>
    </font>
    <font>
      <sz val="11"/>
      <name val="Calibri"/>
      <family val="2"/>
      <scheme val="minor"/>
    </font>
    <font>
      <b/>
      <sz val="18"/>
      <color theme="8"/>
      <name val="Calibri"/>
      <family val="2"/>
      <scheme val="minor"/>
    </font>
    <font>
      <b/>
      <sz val="14"/>
      <color theme="1"/>
      <name val="Calibri"/>
      <family val="2"/>
      <scheme val="minor"/>
    </font>
    <font>
      <b/>
      <sz val="9"/>
      <name val="Arial"/>
      <family val="2"/>
    </font>
    <font>
      <i/>
      <sz val="10"/>
      <name val="Arial"/>
      <family val="2"/>
    </font>
    <font>
      <i/>
      <sz val="10"/>
      <color theme="1"/>
      <name val="Arial"/>
      <family val="2"/>
    </font>
    <font>
      <sz val="10"/>
      <color theme="1"/>
      <name val="Arial"/>
      <family val="2"/>
    </font>
    <font>
      <b/>
      <sz val="11"/>
      <name val="Calibri"/>
      <family val="2"/>
      <scheme val="minor"/>
    </font>
    <font>
      <b/>
      <sz val="14"/>
      <name val="Calibri"/>
      <family val="2"/>
      <scheme val="minor"/>
    </font>
    <font>
      <sz val="10"/>
      <color rgb="FFC00000"/>
      <name val="Arial"/>
      <family val="2"/>
    </font>
    <font>
      <sz val="11"/>
      <color rgb="FFC00000"/>
      <name val="Arial"/>
      <family val="2"/>
    </font>
    <font>
      <sz val="10"/>
      <color rgb="FFFF0000"/>
      <name val="Calibri"/>
      <family val="2"/>
      <scheme val="minor"/>
    </font>
    <font>
      <sz val="11"/>
      <name val="Arial"/>
      <family val="2"/>
    </font>
    <font>
      <b/>
      <sz val="12"/>
      <name val="Arial"/>
      <family val="2"/>
    </font>
    <font>
      <b/>
      <sz val="12"/>
      <color theme="1"/>
      <name val="Arial"/>
      <family val="2"/>
    </font>
    <font>
      <b/>
      <sz val="12"/>
      <color rgb="FF0070C0"/>
      <name val="Arial"/>
      <family val="2"/>
    </font>
    <font>
      <b/>
      <sz val="12"/>
      <color theme="1"/>
      <name val="Calibri"/>
      <family val="2"/>
      <scheme val="minor"/>
    </font>
    <font>
      <b/>
      <sz val="11"/>
      <color rgb="FF0070C0"/>
      <name val="Calibri"/>
      <family val="2"/>
      <scheme val="minor"/>
    </font>
    <font>
      <sz val="10"/>
      <color theme="1"/>
      <name val="Calibri"/>
      <family val="2"/>
      <scheme val="minor"/>
    </font>
    <font>
      <b/>
      <sz val="10"/>
      <color theme="1"/>
      <name val="Calibri"/>
      <family val="2"/>
      <scheme val="minor"/>
    </font>
    <font>
      <b/>
      <sz val="11"/>
      <color rgb="FF000000"/>
      <name val="Calibri"/>
      <family val="2"/>
      <scheme val="minor"/>
    </font>
    <font>
      <sz val="11"/>
      <color rgb="FF0070C0"/>
      <name val="Calibri"/>
      <family val="2"/>
      <scheme val="minor"/>
    </font>
    <font>
      <b/>
      <sz val="16"/>
      <color theme="1"/>
      <name val="Calibri"/>
      <family val="2"/>
      <scheme val="minor"/>
    </font>
    <font>
      <sz val="11"/>
      <color rgb="FF000000"/>
      <name val="Calibri"/>
      <family val="2"/>
      <scheme val="minor"/>
    </font>
    <font>
      <sz val="11"/>
      <color rgb="FF008000"/>
      <name val="Calibri"/>
      <family val="2"/>
      <scheme val="minor"/>
    </font>
    <font>
      <b/>
      <sz val="11"/>
      <color rgb="FF008000"/>
      <name val="Calibri"/>
      <family val="2"/>
      <scheme val="minor"/>
    </font>
    <font>
      <b/>
      <sz val="10"/>
      <color rgb="FF000000"/>
      <name val="Calibri"/>
      <family val="2"/>
      <scheme val="minor"/>
    </font>
    <font>
      <b/>
      <sz val="10"/>
      <color rgb="FF6495ED"/>
      <name val="Calibri"/>
      <family val="2"/>
      <scheme val="minor"/>
    </font>
    <font>
      <b/>
      <sz val="10"/>
      <color rgb="FF008000"/>
      <name val="Calibri"/>
      <family val="2"/>
      <scheme val="minor"/>
    </font>
    <font>
      <sz val="10"/>
      <color rgb="FF008000"/>
      <name val="Calibri"/>
      <family val="2"/>
      <scheme val="minor"/>
    </font>
    <font>
      <b/>
      <sz val="10"/>
      <color rgb="FFFF0000"/>
      <name val="Calibri"/>
      <family val="2"/>
      <scheme val="minor"/>
    </font>
    <font>
      <sz val="10"/>
      <color rgb="FF000000"/>
      <name val="Calibri"/>
      <family val="2"/>
      <scheme val="minor"/>
    </font>
    <font>
      <sz val="10"/>
      <color theme="5"/>
      <name val="Arial"/>
      <family val="2"/>
    </font>
    <font>
      <b/>
      <sz val="12"/>
      <color theme="5"/>
      <name val="Calibri"/>
      <family val="2"/>
      <scheme val="minor"/>
    </font>
    <font>
      <b/>
      <sz val="18"/>
      <color theme="1"/>
      <name val="Calibri"/>
      <family val="2"/>
      <scheme val="minor"/>
    </font>
    <font>
      <b/>
      <sz val="26"/>
      <name val="Arial"/>
      <family val="2"/>
    </font>
    <font>
      <b/>
      <sz val="14"/>
      <name val="Arial"/>
      <family val="2"/>
    </font>
    <font>
      <sz val="14"/>
      <color rgb="FF000000"/>
      <name val="Calibri"/>
      <family val="2"/>
      <scheme val="minor"/>
    </font>
    <font>
      <sz val="9"/>
      <color theme="1"/>
      <name val="Tahoma"/>
      <family val="2"/>
    </font>
    <font>
      <sz val="12"/>
      <color theme="1"/>
      <name val="Calibri"/>
      <family val="2"/>
      <scheme val="minor"/>
    </font>
    <font>
      <sz val="14"/>
      <color rgb="FF0070C0"/>
      <name val="Calibri"/>
      <family val="2"/>
      <scheme val="minor"/>
    </font>
    <font>
      <sz val="14"/>
      <color theme="1"/>
      <name val="Calibri"/>
      <family val="2"/>
      <scheme val="minor"/>
    </font>
    <font>
      <sz val="9"/>
      <color theme="1"/>
      <name val="Calibri"/>
      <family val="2"/>
      <scheme val="minor"/>
    </font>
    <font>
      <b/>
      <i/>
      <sz val="11"/>
      <color rgb="FF000000"/>
      <name val="Calibri"/>
      <family val="2"/>
      <scheme val="minor"/>
    </font>
    <font>
      <b/>
      <i/>
      <sz val="11"/>
      <color theme="1"/>
      <name val="Calibri"/>
      <family val="2"/>
      <scheme val="minor"/>
    </font>
    <font>
      <sz val="11"/>
      <color theme="0" tint="-0.14999847407452621"/>
      <name val="Calibri"/>
      <family val="2"/>
      <scheme val="minor"/>
    </font>
    <font>
      <i/>
      <sz val="11"/>
      <color rgb="FF000000"/>
      <name val="Calibri"/>
      <family val="2"/>
      <scheme val="minor"/>
    </font>
    <font>
      <sz val="10"/>
      <color rgb="FF000000"/>
      <name val="Arial"/>
      <family val="2"/>
    </font>
    <font>
      <b/>
      <sz val="10"/>
      <name val="Calibri"/>
      <family val="2"/>
      <scheme val="minor"/>
    </font>
    <font>
      <b/>
      <sz val="12"/>
      <color theme="4"/>
      <name val="Calibri"/>
      <family val="2"/>
      <scheme val="minor"/>
    </font>
    <font>
      <b/>
      <sz val="11"/>
      <color rgb="FFFF0000"/>
      <name val="Calibri"/>
      <family val="2"/>
      <scheme val="minor"/>
    </font>
    <font>
      <b/>
      <i/>
      <sz val="11"/>
      <color rgb="FF000000"/>
      <name val="Arial"/>
      <family val="2"/>
    </font>
    <font>
      <b/>
      <i/>
      <sz val="12"/>
      <color rgb="FF000000"/>
      <name val="Calibri"/>
      <family val="2"/>
      <scheme val="minor"/>
    </font>
    <font>
      <b/>
      <sz val="14"/>
      <color rgb="FF000000"/>
      <name val="Calibri"/>
      <family val="2"/>
      <scheme val="minor"/>
    </font>
    <font>
      <b/>
      <sz val="18"/>
      <name val="Calibri"/>
      <family val="2"/>
      <scheme val="minor"/>
    </font>
    <font>
      <i/>
      <sz val="11"/>
      <name val="Calibri"/>
      <family val="2"/>
      <scheme val="minor"/>
    </font>
    <font>
      <i/>
      <sz val="10"/>
      <name val="Calibri"/>
      <family val="2"/>
      <scheme val="minor"/>
    </font>
    <font>
      <i/>
      <sz val="14"/>
      <name val="Arial"/>
      <family val="2"/>
    </font>
    <font>
      <b/>
      <sz val="18"/>
      <color rgb="FF00B050"/>
      <name val="Calibri"/>
      <family val="2"/>
      <scheme val="minor"/>
    </font>
    <font>
      <sz val="10"/>
      <color theme="1"/>
      <name val="Calibri"/>
      <family val="2"/>
    </font>
    <font>
      <b/>
      <sz val="12"/>
      <color theme="1"/>
      <name val="Comic Sans MS"/>
      <family val="4"/>
    </font>
    <font>
      <sz val="8"/>
      <color theme="1"/>
      <name val="Calibri"/>
      <family val="2"/>
      <scheme val="minor"/>
    </font>
    <font>
      <sz val="11"/>
      <color theme="4"/>
      <name val="Calibri"/>
      <family val="2"/>
      <scheme val="minor"/>
    </font>
    <font>
      <sz val="9"/>
      <color rgb="FFFF0000"/>
      <name val="Calibri"/>
      <family val="2"/>
      <scheme val="minor"/>
    </font>
    <font>
      <b/>
      <u/>
      <sz val="11"/>
      <color theme="1"/>
      <name val="Calibri"/>
      <family val="2"/>
      <scheme val="minor"/>
    </font>
    <font>
      <u/>
      <sz val="9"/>
      <color theme="1"/>
      <name val="Calibri"/>
      <family val="2"/>
      <scheme val="minor"/>
    </font>
    <font>
      <sz val="8"/>
      <name val="Calibri"/>
      <family val="2"/>
      <scheme val="minor"/>
    </font>
    <font>
      <b/>
      <sz val="20"/>
      <name val="Arial"/>
      <family val="2"/>
    </font>
    <font>
      <b/>
      <sz val="11"/>
      <color rgb="FF0000FF"/>
      <name val="Calibri"/>
      <family val="2"/>
      <scheme val="minor"/>
    </font>
    <font>
      <b/>
      <sz val="11"/>
      <color theme="5"/>
      <name val="Calibri"/>
      <family val="2"/>
      <scheme val="minor"/>
    </font>
    <font>
      <sz val="11"/>
      <color rgb="FF00B050"/>
      <name val="Calibri"/>
      <family val="2"/>
      <scheme val="minor"/>
    </font>
    <font>
      <b/>
      <sz val="11"/>
      <color rgb="FF00B050"/>
      <name val="Calibri"/>
      <family val="2"/>
      <scheme val="minor"/>
    </font>
    <font>
      <sz val="8"/>
      <color rgb="FFFF0000"/>
      <name val="Calibri"/>
      <family val="2"/>
      <scheme val="minor"/>
    </font>
    <font>
      <sz val="10"/>
      <color theme="1"/>
      <name val="Tahoma"/>
      <family val="2"/>
    </font>
    <font>
      <b/>
      <sz val="9"/>
      <color rgb="FF003399"/>
      <name val="Calibri"/>
      <family val="2"/>
      <scheme val="minor"/>
    </font>
    <font>
      <b/>
      <u val="singleAccounting"/>
      <sz val="11"/>
      <color rgb="FFFF0000"/>
      <name val="Calibri"/>
      <family val="2"/>
      <scheme val="minor"/>
    </font>
    <font>
      <i/>
      <sz val="11"/>
      <color theme="1"/>
      <name val="Calibri"/>
      <family val="2"/>
      <scheme val="minor"/>
    </font>
    <font>
      <sz val="20"/>
      <color theme="1"/>
      <name val="Arial"/>
      <family val="2"/>
    </font>
    <font>
      <b/>
      <sz val="20"/>
      <color theme="5"/>
      <name val="Arial"/>
      <family val="2"/>
    </font>
    <font>
      <sz val="12"/>
      <color theme="1"/>
      <name val="Arial"/>
      <family val="2"/>
    </font>
    <font>
      <sz val="11"/>
      <color rgb="FFFF0000"/>
      <name val="Arial"/>
      <family val="2"/>
    </font>
    <font>
      <sz val="20"/>
      <color rgb="FFFF0000"/>
      <name val="Arial"/>
      <family val="2"/>
    </font>
    <font>
      <sz val="20"/>
      <name val="Arial"/>
      <family val="2"/>
    </font>
    <font>
      <b/>
      <sz val="24"/>
      <color theme="1"/>
      <name val="Arial"/>
      <family val="2"/>
    </font>
    <font>
      <b/>
      <sz val="24"/>
      <color rgb="FF92D050"/>
      <name val="Arial"/>
      <family val="2"/>
    </font>
    <font>
      <sz val="28"/>
      <color theme="0"/>
      <name val="Arial"/>
      <family val="2"/>
    </font>
    <font>
      <b/>
      <sz val="28"/>
      <color theme="0"/>
      <name val="Arial"/>
      <family val="2"/>
    </font>
    <font>
      <i/>
      <sz val="20"/>
      <color theme="1"/>
      <name val="Arial"/>
      <family val="2"/>
    </font>
    <font>
      <sz val="16"/>
      <name val="Calibri Light"/>
      <family val="2"/>
      <scheme val="major"/>
    </font>
    <font>
      <b/>
      <sz val="20"/>
      <color theme="1"/>
      <name val="Arial"/>
      <family val="2"/>
    </font>
    <font>
      <b/>
      <sz val="9"/>
      <color rgb="FF000000"/>
      <name val="Tahoma"/>
      <family val="2"/>
    </font>
    <font>
      <sz val="9"/>
      <color rgb="FF000000"/>
      <name val="Tahoma"/>
      <family val="2"/>
    </font>
  </fonts>
  <fills count="32">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FFF00"/>
        <bgColor indexed="64"/>
      </patternFill>
    </fill>
    <fill>
      <patternFill patternType="solid">
        <fgColor theme="7" tint="0.59999389629810485"/>
        <bgColor indexed="64"/>
      </patternFill>
    </fill>
    <fill>
      <patternFill patternType="solid">
        <fgColor theme="5"/>
        <bgColor indexed="64"/>
      </patternFill>
    </fill>
    <fill>
      <patternFill patternType="solid">
        <fgColor theme="4"/>
        <bgColor indexed="64"/>
      </patternFill>
    </fill>
    <fill>
      <patternFill patternType="solid">
        <fgColor theme="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7"/>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theme="9"/>
        <bgColor indexed="64"/>
      </patternFill>
    </fill>
    <fill>
      <patternFill patternType="solid">
        <fgColor rgb="FF92D050"/>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6" tint="0.79998168889431442"/>
        <bgColor indexed="64"/>
      </patternFill>
    </fill>
    <fill>
      <patternFill patternType="solid">
        <fgColor theme="4" tint="0.39997558519241921"/>
        <bgColor indexed="64"/>
      </patternFill>
    </fill>
    <fill>
      <patternFill patternType="solid">
        <fgColor rgb="FFCCECFF"/>
        <bgColor indexed="64"/>
      </patternFill>
    </fill>
    <fill>
      <patternFill patternType="solid">
        <fgColor theme="5" tint="0.59999389629810485"/>
        <bgColor indexed="64"/>
      </patternFill>
    </fill>
    <fill>
      <patternFill patternType="solid">
        <fgColor rgb="FFB9C9FE"/>
        <bgColor indexed="64"/>
      </patternFill>
    </fill>
    <fill>
      <patternFill patternType="solid">
        <fgColor theme="2" tint="-0.249977111117893"/>
        <bgColor indexed="64"/>
      </patternFill>
    </fill>
    <fill>
      <patternFill patternType="solid">
        <fgColor theme="9" tint="0.39997558519241921"/>
        <bgColor indexed="64"/>
      </patternFill>
    </fill>
    <fill>
      <patternFill patternType="solid">
        <fgColor rgb="FFFFCDCC"/>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FF0000"/>
        <bgColor indexed="64"/>
      </patternFill>
    </fill>
    <fill>
      <patternFill patternType="solid">
        <fgColor theme="4" tint="-0.499984740745262"/>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8"/>
      </right>
      <top style="medium">
        <color indexed="64"/>
      </top>
      <bottom style="medium">
        <color indexed="64"/>
      </bottom>
      <diagonal/>
    </border>
    <border>
      <left style="thin">
        <color indexed="64"/>
      </left>
      <right style="medium">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style="thin">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thin">
        <color indexed="64"/>
      </left>
      <right style="medium">
        <color indexed="64"/>
      </right>
      <top/>
      <bottom style="thin">
        <color indexed="64"/>
      </bottom>
      <diagonal/>
    </border>
    <border>
      <left/>
      <right/>
      <top/>
      <bottom style="thin">
        <color rgb="FF6495ED"/>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23"/>
      </left>
      <right style="thin">
        <color indexed="23"/>
      </right>
      <top style="thin">
        <color indexed="23"/>
      </top>
      <bottom style="thin">
        <color indexed="23"/>
      </bottom>
      <diagonal/>
    </border>
    <border>
      <left/>
      <right/>
      <top/>
      <bottom style="thin">
        <color indexed="23"/>
      </bottom>
      <diagonal/>
    </border>
    <border>
      <left style="medium">
        <color indexed="64"/>
      </left>
      <right style="thin">
        <color indexed="8"/>
      </right>
      <top style="medium">
        <color indexed="64"/>
      </top>
      <bottom style="medium">
        <color indexed="64"/>
      </bottom>
      <diagonal/>
    </border>
    <border>
      <left/>
      <right style="thick">
        <color rgb="FF0070C0"/>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thin">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medium">
        <color indexed="64"/>
      </bottom>
      <diagonal/>
    </border>
    <border>
      <left/>
      <right/>
      <top/>
      <bottom style="double">
        <color indexed="64"/>
      </bottom>
      <diagonal/>
    </border>
    <border>
      <left/>
      <right style="medium">
        <color indexed="64"/>
      </right>
      <top style="medium">
        <color indexed="64"/>
      </top>
      <bottom/>
      <diagonal/>
    </border>
    <border>
      <left style="thin">
        <color rgb="FF3872AC"/>
      </left>
      <right style="thin">
        <color rgb="FF3872AC"/>
      </right>
      <top style="thin">
        <color rgb="FF3872AC"/>
      </top>
      <bottom style="thin">
        <color rgb="FF3872AC"/>
      </bottom>
      <diagonal/>
    </border>
    <border>
      <left/>
      <right/>
      <top/>
      <bottom style="hair">
        <color theme="1" tint="0.499984740745262"/>
      </bottom>
      <diagonal/>
    </border>
    <border>
      <left/>
      <right/>
      <top style="hair">
        <color theme="1" tint="0.499984740745262"/>
      </top>
      <bottom/>
      <diagonal/>
    </border>
    <border>
      <left/>
      <right style="hair">
        <color rgb="FF7F7F7F"/>
      </right>
      <top/>
      <bottom/>
      <diagonal/>
    </border>
    <border>
      <left style="hair">
        <color rgb="FF7F7F7F"/>
      </left>
      <right style="hair">
        <color rgb="FF7F7F7F"/>
      </right>
      <top style="hair">
        <color rgb="FF7F7F7F"/>
      </top>
      <bottom style="hair">
        <color rgb="FF7F7F7F"/>
      </bottom>
      <diagonal/>
    </border>
    <border>
      <left/>
      <right style="hair">
        <color theme="1" tint="0.499984740745262"/>
      </right>
      <top/>
      <bottom/>
      <diagonal/>
    </border>
    <border>
      <left style="hair">
        <color theme="1" tint="0.499984740745262"/>
      </left>
      <right style="hair">
        <color theme="1" tint="0.499984740745262"/>
      </right>
      <top style="hair">
        <color theme="1" tint="0.499984740745262"/>
      </top>
      <bottom style="hair">
        <color theme="1" tint="0.499984740745262"/>
      </bottom>
      <diagonal/>
    </border>
    <border>
      <left/>
      <right/>
      <top style="medium">
        <color indexed="64"/>
      </top>
      <bottom/>
      <diagonal/>
    </border>
    <border>
      <left style="thin">
        <color rgb="FF3872AC"/>
      </left>
      <right style="thin">
        <color rgb="FF3872AC"/>
      </right>
      <top/>
      <bottom/>
      <diagonal/>
    </border>
  </borders>
  <cellStyleXfs count="18">
    <xf numFmtId="0" fontId="0" fillId="0" borderId="0"/>
    <xf numFmtId="0" fontId="7" fillId="0" borderId="0" applyNumberFormat="0" applyFill="0" applyBorder="0" applyAlignment="0" applyProtection="0"/>
    <xf numFmtId="0" fontId="8" fillId="0" borderId="0"/>
    <xf numFmtId="0" fontId="28" fillId="0" borderId="0"/>
    <xf numFmtId="166" fontId="28" fillId="0" borderId="0" applyFont="0" applyFill="0" applyBorder="0" applyAlignment="0" applyProtection="0"/>
    <xf numFmtId="166" fontId="2" fillId="0" borderId="0" applyFont="0" applyFill="0" applyBorder="0" applyAlignment="0" applyProtection="0"/>
    <xf numFmtId="9" fontId="2" fillId="0" borderId="0" applyFont="0" applyFill="0" applyBorder="0" applyAlignment="0" applyProtection="0"/>
    <xf numFmtId="0" fontId="69" fillId="0" borderId="0"/>
    <xf numFmtId="167" fontId="2" fillId="0" borderId="0" applyFont="0" applyFill="0" applyBorder="0" applyAlignment="0" applyProtection="0"/>
    <xf numFmtId="0" fontId="10" fillId="0" borderId="0">
      <alignment horizontal="right"/>
    </xf>
    <xf numFmtId="0" fontId="98" fillId="0" borderId="73" applyNumberFormat="0" applyFill="0" applyProtection="0">
      <alignment horizontal="left"/>
    </xf>
    <xf numFmtId="0" fontId="10" fillId="0" borderId="0" applyNumberFormat="0" applyFill="0" applyProtection="0">
      <alignment horizontal="right" indent="1"/>
    </xf>
    <xf numFmtId="0" fontId="10" fillId="0" borderId="0" applyNumberFormat="0" applyFont="0" applyFill="0" applyBorder="0" applyProtection="0">
      <alignment horizontal="left" indent="5"/>
    </xf>
    <xf numFmtId="166" fontId="10" fillId="0" borderId="0" applyFont="0" applyFill="0" applyBorder="0" applyAlignment="0" applyProtection="0"/>
    <xf numFmtId="10" fontId="10" fillId="0" borderId="0" applyFont="0" applyFill="0" applyBorder="0" applyAlignment="0" applyProtection="0"/>
    <xf numFmtId="1" fontId="10" fillId="0" borderId="0" applyFont="0" applyFill="0" applyBorder="0" applyProtection="0">
      <alignment horizontal="right"/>
    </xf>
    <xf numFmtId="14" fontId="10" fillId="0" borderId="0" applyFont="0" applyFill="0" applyBorder="0">
      <alignment horizontal="right"/>
    </xf>
    <xf numFmtId="0" fontId="10" fillId="0" borderId="0" applyNumberFormat="0" applyFont="0" applyFill="0" applyBorder="0" applyProtection="0">
      <alignment horizontal="center" wrapText="1"/>
    </xf>
  </cellStyleXfs>
  <cellXfs count="864">
    <xf numFmtId="0" fontId="0" fillId="0" borderId="0" xfId="0"/>
    <xf numFmtId="0" fontId="0" fillId="0" borderId="1" xfId="0" applyBorder="1"/>
    <xf numFmtId="0" fontId="0" fillId="0" borderId="0" xfId="0" applyAlignment="1">
      <alignment horizontal="center" vertical="center"/>
    </xf>
    <xf numFmtId="0" fontId="9" fillId="0" borderId="0" xfId="2" applyFont="1" applyAlignment="1">
      <alignment horizontal="center" vertical="center"/>
    </xf>
    <xf numFmtId="0" fontId="9" fillId="0" borderId="0" xfId="0" applyFont="1" applyAlignment="1">
      <alignment vertical="center" wrapText="1"/>
    </xf>
    <xf numFmtId="0" fontId="9" fillId="3" borderId="20" xfId="0" applyFont="1" applyFill="1" applyBorder="1" applyAlignment="1">
      <alignment horizontal="center" vertical="center" wrapText="1"/>
    </xf>
    <xf numFmtId="0" fontId="9" fillId="3" borderId="21" xfId="2" applyFont="1" applyFill="1" applyBorder="1" applyAlignment="1">
      <alignment horizontal="center" vertical="center"/>
    </xf>
    <xf numFmtId="0" fontId="9" fillId="3" borderId="16" xfId="2" applyFont="1" applyFill="1" applyBorder="1" applyAlignment="1">
      <alignment horizontal="center" vertical="center"/>
    </xf>
    <xf numFmtId="0" fontId="9" fillId="3" borderId="19" xfId="2" applyFont="1" applyFill="1" applyBorder="1" applyAlignment="1">
      <alignment horizontal="center" vertical="center"/>
    </xf>
    <xf numFmtId="0" fontId="10" fillId="0" borderId="0" xfId="0" applyFont="1"/>
    <xf numFmtId="0" fontId="11" fillId="0" borderId="0" xfId="0" applyFont="1"/>
    <xf numFmtId="0" fontId="12" fillId="0" borderId="0" xfId="0" applyFont="1"/>
    <xf numFmtId="0" fontId="13" fillId="2" borderId="0" xfId="0" applyFont="1" applyFill="1" applyAlignment="1">
      <alignment horizontal="center" vertical="center" wrapText="1"/>
    </xf>
    <xf numFmtId="165" fontId="0" fillId="2" borderId="0" xfId="0" applyNumberFormat="1" applyFill="1" applyAlignment="1">
      <alignment horizontal="right" vertical="center"/>
    </xf>
    <xf numFmtId="165" fontId="10" fillId="2" borderId="0" xfId="0" applyNumberFormat="1" applyFont="1" applyFill="1" applyAlignment="1">
      <alignment horizontal="right" vertical="center"/>
    </xf>
    <xf numFmtId="165" fontId="14" fillId="2" borderId="0" xfId="0" applyNumberFormat="1" applyFont="1" applyFill="1" applyAlignment="1">
      <alignment horizontal="right" vertical="center"/>
    </xf>
    <xf numFmtId="0" fontId="9" fillId="0" borderId="6" xfId="0" applyFont="1" applyBorder="1"/>
    <xf numFmtId="0" fontId="9" fillId="3" borderId="13" xfId="0" applyFont="1" applyFill="1" applyBorder="1" applyAlignment="1">
      <alignment horizontal="center" wrapText="1"/>
    </xf>
    <xf numFmtId="0" fontId="9" fillId="3" borderId="13" xfId="0" applyFont="1" applyFill="1" applyBorder="1" applyAlignment="1">
      <alignment horizontal="center"/>
    </xf>
    <xf numFmtId="0" fontId="9" fillId="3" borderId="15" xfId="0" applyFont="1" applyFill="1" applyBorder="1" applyAlignment="1">
      <alignment horizontal="center"/>
    </xf>
    <xf numFmtId="4" fontId="10" fillId="0" borderId="0" xfId="0" applyNumberFormat="1" applyFont="1" applyAlignment="1">
      <alignment horizontal="center" vertical="center"/>
    </xf>
    <xf numFmtId="4" fontId="8" fillId="0" borderId="23" xfId="0" applyNumberFormat="1" applyFont="1" applyBorder="1" applyAlignment="1">
      <alignment horizontal="center" vertical="center"/>
    </xf>
    <xf numFmtId="4" fontId="8" fillId="0" borderId="29" xfId="0" applyNumberFormat="1" applyFont="1" applyBorder="1" applyAlignment="1">
      <alignment horizontal="center" vertical="center"/>
    </xf>
    <xf numFmtId="168" fontId="0" fillId="0" borderId="1" xfId="0" applyNumberFormat="1" applyBorder="1" applyAlignment="1">
      <alignment horizontal="center" vertical="center"/>
    </xf>
    <xf numFmtId="168" fontId="10" fillId="0" borderId="1" xfId="0" applyNumberFormat="1" applyFont="1" applyBorder="1" applyAlignment="1">
      <alignment horizontal="center" vertical="center"/>
    </xf>
    <xf numFmtId="168" fontId="10" fillId="0" borderId="0" xfId="0" applyNumberFormat="1" applyFont="1" applyAlignment="1">
      <alignment horizontal="center" vertical="center"/>
    </xf>
    <xf numFmtId="168" fontId="18" fillId="0" borderId="1" xfId="0" applyNumberFormat="1" applyFont="1" applyBorder="1" applyAlignment="1">
      <alignment horizontal="center" vertical="center"/>
    </xf>
    <xf numFmtId="0" fontId="19" fillId="0" borderId="1" xfId="0" applyFont="1" applyBorder="1" applyAlignment="1">
      <alignment vertical="center"/>
    </xf>
    <xf numFmtId="0" fontId="0" fillId="0" borderId="0" xfId="0" applyAlignment="1">
      <alignment wrapText="1"/>
    </xf>
    <xf numFmtId="0" fontId="21" fillId="0" borderId="0" xfId="0" applyFont="1"/>
    <xf numFmtId="165" fontId="0" fillId="0" borderId="0" xfId="0" applyNumberFormat="1"/>
    <xf numFmtId="164" fontId="0" fillId="0" borderId="0" xfId="0" applyNumberFormat="1"/>
    <xf numFmtId="0" fontId="8" fillId="0" borderId="1" xfId="0" applyFont="1" applyBorder="1" applyAlignment="1">
      <alignment horizontal="center" vertical="center"/>
    </xf>
    <xf numFmtId="0" fontId="9" fillId="3" borderId="4" xfId="0" applyFont="1" applyFill="1" applyBorder="1"/>
    <xf numFmtId="0" fontId="9" fillId="3" borderId="23" xfId="0" applyFont="1" applyFill="1" applyBorder="1"/>
    <xf numFmtId="0" fontId="9" fillId="3" borderId="24" xfId="0" applyFont="1" applyFill="1" applyBorder="1"/>
    <xf numFmtId="0" fontId="9" fillId="3" borderId="5" xfId="0" applyFont="1" applyFill="1" applyBorder="1" applyAlignment="1">
      <alignment horizontal="center" vertical="center"/>
    </xf>
    <xf numFmtId="0" fontId="4" fillId="3" borderId="1" xfId="0" applyFont="1" applyFill="1" applyBorder="1" applyAlignment="1">
      <alignment horizontal="center" vertical="center"/>
    </xf>
    <xf numFmtId="0" fontId="9" fillId="3" borderId="1" xfId="0" applyFont="1" applyFill="1" applyBorder="1" applyAlignment="1">
      <alignment horizontal="center" vertical="center"/>
    </xf>
    <xf numFmtId="3" fontId="8" fillId="0" borderId="1" xfId="0" applyNumberFormat="1" applyFont="1" applyBorder="1" applyAlignment="1">
      <alignment horizontal="center" vertical="center"/>
    </xf>
    <xf numFmtId="0" fontId="20" fillId="0" borderId="1" xfId="0" applyFont="1" applyBorder="1" applyAlignment="1">
      <alignment vertical="center"/>
    </xf>
    <xf numFmtId="0" fontId="22" fillId="0" borderId="1" xfId="0" applyFont="1" applyBorder="1" applyAlignment="1">
      <alignment vertical="center"/>
    </xf>
    <xf numFmtId="0" fontId="23" fillId="0" borderId="1" xfId="0" applyFont="1" applyBorder="1" applyAlignment="1">
      <alignment horizontal="right"/>
    </xf>
    <xf numFmtId="0" fontId="23" fillId="0" borderId="5" xfId="0" applyFont="1" applyBorder="1" applyAlignment="1">
      <alignment horizontal="right" vertical="center"/>
    </xf>
    <xf numFmtId="165" fontId="23" fillId="0" borderId="5" xfId="0" applyNumberFormat="1" applyFont="1" applyBorder="1" applyAlignment="1">
      <alignment vertical="center"/>
    </xf>
    <xf numFmtId="0" fontId="17" fillId="3" borderId="1" xfId="0" applyFont="1" applyFill="1" applyBorder="1" applyAlignment="1">
      <alignment horizontal="center" vertical="center"/>
    </xf>
    <xf numFmtId="0" fontId="9" fillId="3" borderId="1" xfId="0" applyFont="1" applyFill="1" applyBorder="1" applyAlignment="1">
      <alignment horizontal="center" vertical="center" wrapText="1"/>
    </xf>
    <xf numFmtId="0" fontId="8" fillId="0" borderId="4" xfId="0" applyFont="1" applyBorder="1" applyAlignment="1">
      <alignment horizontal="center" vertical="center"/>
    </xf>
    <xf numFmtId="169" fontId="16" fillId="0" borderId="1" xfId="0" applyNumberFormat="1" applyFont="1" applyBorder="1" applyAlignment="1">
      <alignment horizontal="center" vertical="center"/>
    </xf>
    <xf numFmtId="169" fontId="8" fillId="0" borderId="1" xfId="0" applyNumberFormat="1" applyFont="1" applyBorder="1" applyAlignment="1">
      <alignment horizontal="center" vertical="center"/>
    </xf>
    <xf numFmtId="0" fontId="23" fillId="0" borderId="1" xfId="0" applyFont="1" applyBorder="1" applyAlignment="1">
      <alignment horizontal="right" vertical="center"/>
    </xf>
    <xf numFmtId="0" fontId="23" fillId="0" borderId="1" xfId="0" applyFont="1" applyBorder="1" applyAlignment="1">
      <alignment horizontal="center" vertical="center"/>
    </xf>
    <xf numFmtId="165" fontId="23" fillId="0" borderId="1" xfId="0" applyNumberFormat="1" applyFont="1" applyBorder="1" applyAlignment="1">
      <alignment vertical="center"/>
    </xf>
    <xf numFmtId="3" fontId="0" fillId="0" borderId="3" xfId="0" applyNumberFormat="1" applyBorder="1" applyAlignment="1">
      <alignment vertical="center"/>
    </xf>
    <xf numFmtId="165" fontId="9" fillId="0" borderId="3" xfId="0" applyNumberFormat="1" applyFont="1" applyBorder="1" applyAlignment="1">
      <alignment vertical="center"/>
    </xf>
    <xf numFmtId="0" fontId="23" fillId="0" borderId="5" xfId="0" applyFont="1" applyBorder="1" applyAlignment="1">
      <alignment horizontal="center" vertical="center"/>
    </xf>
    <xf numFmtId="168" fontId="16" fillId="0" borderId="1" xfId="0" applyNumberFormat="1" applyFont="1" applyBorder="1"/>
    <xf numFmtId="0" fontId="16" fillId="0" borderId="1" xfId="0" applyFont="1" applyBorder="1" applyAlignment="1">
      <alignment horizontal="center" vertical="center"/>
    </xf>
    <xf numFmtId="0" fontId="24" fillId="0" borderId="0" xfId="0" applyFont="1"/>
    <xf numFmtId="168" fontId="24" fillId="0" borderId="0" xfId="0" applyNumberFormat="1" applyFont="1"/>
    <xf numFmtId="0" fontId="25" fillId="0" borderId="1" xfId="0" applyFont="1" applyBorder="1"/>
    <xf numFmtId="168" fontId="25" fillId="0" borderId="1" xfId="0" applyNumberFormat="1" applyFont="1" applyBorder="1"/>
    <xf numFmtId="0" fontId="9" fillId="3" borderId="30" xfId="2" applyFont="1" applyFill="1" applyBorder="1" applyAlignment="1">
      <alignment horizontal="center" vertical="center"/>
    </xf>
    <xf numFmtId="0" fontId="27" fillId="0" borderId="0" xfId="0" applyFont="1"/>
    <xf numFmtId="168" fontId="0" fillId="0" borderId="0" xfId="0" applyNumberFormat="1"/>
    <xf numFmtId="168" fontId="0" fillId="0" borderId="1" xfId="0" applyNumberFormat="1" applyBorder="1"/>
    <xf numFmtId="0" fontId="4" fillId="3" borderId="4" xfId="0" applyFont="1" applyFill="1" applyBorder="1"/>
    <xf numFmtId="0" fontId="4" fillId="3" borderId="24" xfId="0" applyFont="1" applyFill="1" applyBorder="1"/>
    <xf numFmtId="0" fontId="0" fillId="0" borderId="0" xfId="0" applyAlignment="1">
      <alignment horizontal="center"/>
    </xf>
    <xf numFmtId="0" fontId="9" fillId="3" borderId="32" xfId="0" applyFont="1" applyFill="1" applyBorder="1" applyAlignment="1">
      <alignment horizontal="center" vertical="center" wrapText="1"/>
    </xf>
    <xf numFmtId="3" fontId="10" fillId="0" borderId="0" xfId="0" applyNumberFormat="1" applyFont="1"/>
    <xf numFmtId="0" fontId="0" fillId="0" borderId="1" xfId="0" applyBorder="1" applyAlignment="1">
      <alignment horizontal="center" vertical="center"/>
    </xf>
    <xf numFmtId="0" fontId="10" fillId="0" borderId="1" xfId="0" applyFont="1" applyBorder="1"/>
    <xf numFmtId="168" fontId="10" fillId="0" borderId="0" xfId="0" applyNumberFormat="1" applyFont="1"/>
    <xf numFmtId="0" fontId="29" fillId="0" borderId="0" xfId="3" applyFont="1"/>
    <xf numFmtId="0" fontId="28" fillId="0" borderId="0" xfId="3"/>
    <xf numFmtId="0" fontId="12" fillId="0" borderId="0" xfId="3" applyFont="1"/>
    <xf numFmtId="3" fontId="30" fillId="0" borderId="0" xfId="3" quotePrefix="1" applyNumberFormat="1" applyFont="1" applyAlignment="1">
      <alignment horizontal="center"/>
    </xf>
    <xf numFmtId="3" fontId="30" fillId="6" borderId="0" xfId="3" quotePrefix="1" applyNumberFormat="1" applyFont="1" applyFill="1" applyAlignment="1">
      <alignment wrapText="1"/>
    </xf>
    <xf numFmtId="0" fontId="27" fillId="0" borderId="0" xfId="3" applyFont="1" applyAlignment="1">
      <alignment horizontal="center" vertical="center" wrapText="1"/>
    </xf>
    <xf numFmtId="0" fontId="27" fillId="0" borderId="0" xfId="3" applyFont="1" applyAlignment="1">
      <alignment vertical="center"/>
    </xf>
    <xf numFmtId="170" fontId="0" fillId="0" borderId="0" xfId="4" applyNumberFormat="1" applyFont="1"/>
    <xf numFmtId="166" fontId="31" fillId="0" borderId="0" xfId="4" applyFont="1"/>
    <xf numFmtId="0" fontId="31" fillId="0" borderId="0" xfId="3" applyFont="1"/>
    <xf numFmtId="0" fontId="32" fillId="0" borderId="0" xfId="3" applyFont="1"/>
    <xf numFmtId="3" fontId="28" fillId="0" borderId="0" xfId="3" applyNumberFormat="1"/>
    <xf numFmtId="0" fontId="30" fillId="0" borderId="0" xfId="3" applyFont="1"/>
    <xf numFmtId="0" fontId="30" fillId="0" borderId="0" xfId="3" quotePrefix="1" applyFont="1" applyAlignment="1">
      <alignment horizontal="center"/>
    </xf>
    <xf numFmtId="3" fontId="30" fillId="0" borderId="0" xfId="3" quotePrefix="1" applyNumberFormat="1" applyFont="1"/>
    <xf numFmtId="0" fontId="30" fillId="0" borderId="0" xfId="3" quotePrefix="1" applyFont="1"/>
    <xf numFmtId="0" fontId="30" fillId="0" borderId="0" xfId="3" quotePrefix="1" applyFont="1" applyAlignment="1">
      <alignment wrapText="1"/>
    </xf>
    <xf numFmtId="3" fontId="30" fillId="0" borderId="0" xfId="3" quotePrefix="1" applyNumberFormat="1" applyFont="1" applyAlignment="1">
      <alignment wrapText="1"/>
    </xf>
    <xf numFmtId="3" fontId="30" fillId="6" borderId="0" xfId="3" applyNumberFormat="1" applyFont="1" applyFill="1" applyAlignment="1">
      <alignment wrapText="1"/>
    </xf>
    <xf numFmtId="0" fontId="33" fillId="0" borderId="0" xfId="3" quotePrefix="1" applyFont="1"/>
    <xf numFmtId="2" fontId="34" fillId="0" borderId="0" xfId="3" applyNumberFormat="1" applyFont="1"/>
    <xf numFmtId="3" fontId="34" fillId="0" borderId="0" xfId="3" applyNumberFormat="1" applyFont="1"/>
    <xf numFmtId="3" fontId="33" fillId="0" borderId="0" xfId="3" applyNumberFormat="1" applyFont="1"/>
    <xf numFmtId="0" fontId="33" fillId="0" borderId="0" xfId="3" applyFont="1"/>
    <xf numFmtId="3" fontId="3" fillId="0" borderId="0" xfId="3" applyNumberFormat="1" applyFont="1"/>
    <xf numFmtId="2" fontId="3" fillId="0" borderId="0" xfId="3" applyNumberFormat="1" applyFont="1"/>
    <xf numFmtId="0" fontId="4" fillId="0" borderId="0" xfId="3" applyFont="1"/>
    <xf numFmtId="2" fontId="35" fillId="0" borderId="0" xfId="3" applyNumberFormat="1" applyFont="1"/>
    <xf numFmtId="3" fontId="35" fillId="0" borderId="0" xfId="3" applyNumberFormat="1" applyFont="1"/>
    <xf numFmtId="0" fontId="12" fillId="6" borderId="0" xfId="3" applyFont="1" applyFill="1"/>
    <xf numFmtId="0" fontId="36" fillId="0" borderId="0" xfId="3" applyFont="1"/>
    <xf numFmtId="3" fontId="29" fillId="0" borderId="0" xfId="3" applyNumberFormat="1" applyFont="1"/>
    <xf numFmtId="0" fontId="29" fillId="0" borderId="0" xfId="3" quotePrefix="1" applyFont="1"/>
    <xf numFmtId="3" fontId="29" fillId="0" borderId="0" xfId="3" quotePrefix="1" applyNumberFormat="1" applyFont="1" applyAlignment="1">
      <alignment horizontal="center" vertical="center" wrapText="1"/>
    </xf>
    <xf numFmtId="3" fontId="29" fillId="6" borderId="0" xfId="3" quotePrefix="1" applyNumberFormat="1" applyFont="1" applyFill="1" applyAlignment="1">
      <alignment horizontal="center" vertical="center" wrapText="1"/>
    </xf>
    <xf numFmtId="3" fontId="29" fillId="0" borderId="0" xfId="3" quotePrefix="1" applyNumberFormat="1" applyFont="1"/>
    <xf numFmtId="0" fontId="28" fillId="0" borderId="0" xfId="3" quotePrefix="1"/>
    <xf numFmtId="3" fontId="39" fillId="0" borderId="0" xfId="3" applyNumberFormat="1" applyFont="1"/>
    <xf numFmtId="3" fontId="38" fillId="0" borderId="0" xfId="3" applyNumberFormat="1" applyFont="1"/>
    <xf numFmtId="3" fontId="36" fillId="0" borderId="0" xfId="3" applyNumberFormat="1" applyFont="1"/>
    <xf numFmtId="3" fontId="21" fillId="0" borderId="0" xfId="3" applyNumberFormat="1" applyFont="1"/>
    <xf numFmtId="3" fontId="40" fillId="0" borderId="0" xfId="3" applyNumberFormat="1" applyFont="1"/>
    <xf numFmtId="3" fontId="41" fillId="0" borderId="0" xfId="3" applyNumberFormat="1" applyFont="1"/>
    <xf numFmtId="3" fontId="28" fillId="7" borderId="0" xfId="3" applyNumberFormat="1" applyFill="1"/>
    <xf numFmtId="0" fontId="44" fillId="0" borderId="1" xfId="0" applyFont="1" applyBorder="1" applyAlignment="1">
      <alignment vertical="center"/>
    </xf>
    <xf numFmtId="0" fontId="45" fillId="0" borderId="0" xfId="0" applyFont="1" applyAlignment="1">
      <alignment vertical="center" wrapText="1"/>
    </xf>
    <xf numFmtId="0" fontId="46" fillId="0" borderId="0" xfId="0" applyFont="1" applyAlignment="1">
      <alignment vertical="center"/>
    </xf>
    <xf numFmtId="0" fontId="47" fillId="0" borderId="0" xfId="0" applyFont="1"/>
    <xf numFmtId="0" fontId="0" fillId="0" borderId="0" xfId="0" applyAlignment="1">
      <alignment vertical="center"/>
    </xf>
    <xf numFmtId="0" fontId="4" fillId="0" borderId="1" xfId="0" applyFont="1" applyBorder="1" applyAlignment="1">
      <alignment horizontal="center"/>
    </xf>
    <xf numFmtId="0" fontId="4" fillId="0" borderId="0" xfId="0" applyFont="1"/>
    <xf numFmtId="0" fontId="31" fillId="0" borderId="0" xfId="0" applyFont="1"/>
    <xf numFmtId="0" fontId="48" fillId="0" borderId="0" xfId="0" applyFont="1"/>
    <xf numFmtId="0" fontId="0" fillId="0" borderId="0" xfId="0" applyAlignment="1">
      <alignment horizontal="left" indent="2"/>
    </xf>
    <xf numFmtId="0" fontId="8" fillId="0" borderId="0" xfId="0" applyFont="1" applyAlignment="1">
      <alignment horizontal="center" vertical="center"/>
    </xf>
    <xf numFmtId="169" fontId="16" fillId="0" borderId="0" xfId="0" applyNumberFormat="1" applyFont="1" applyAlignment="1">
      <alignment horizontal="center" vertical="center"/>
    </xf>
    <xf numFmtId="165" fontId="42" fillId="0" borderId="0" xfId="0" applyNumberFormat="1" applyFont="1" applyAlignment="1">
      <alignment vertical="center"/>
    </xf>
    <xf numFmtId="165" fontId="15" fillId="0" borderId="0" xfId="0" applyNumberFormat="1" applyFont="1" applyAlignment="1">
      <alignment vertical="center"/>
    </xf>
    <xf numFmtId="164" fontId="16" fillId="0" borderId="0" xfId="0" applyNumberFormat="1" applyFont="1" applyAlignment="1">
      <alignment vertical="center"/>
    </xf>
    <xf numFmtId="0" fontId="50" fillId="0" borderId="0" xfId="0" applyFont="1"/>
    <xf numFmtId="0" fontId="51" fillId="0" borderId="0" xfId="0" applyFont="1"/>
    <xf numFmtId="0" fontId="4" fillId="0" borderId="0" xfId="0" applyFont="1" applyAlignment="1">
      <alignment horizontal="left" vertical="center" wrapText="1"/>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left"/>
    </xf>
    <xf numFmtId="0" fontId="4" fillId="0" borderId="0" xfId="0" applyFont="1" applyAlignment="1">
      <alignment vertical="top"/>
    </xf>
    <xf numFmtId="0" fontId="0" fillId="0" borderId="0" xfId="0" applyAlignment="1">
      <alignment vertical="top"/>
    </xf>
    <xf numFmtId="0" fontId="1" fillId="0" borderId="0" xfId="0" applyFont="1"/>
    <xf numFmtId="0" fontId="52" fillId="0" borderId="0" xfId="0" applyFont="1"/>
    <xf numFmtId="0" fontId="26" fillId="0" borderId="0" xfId="0" applyFont="1" applyAlignment="1">
      <alignment vertical="top"/>
    </xf>
    <xf numFmtId="0" fontId="49" fillId="0" borderId="0" xfId="0" applyFont="1" applyAlignment="1">
      <alignment vertical="top"/>
    </xf>
    <xf numFmtId="0" fontId="7" fillId="3" borderId="24" xfId="1" applyFill="1" applyBorder="1" applyAlignment="1">
      <alignment horizontal="center"/>
    </xf>
    <xf numFmtId="0" fontId="7" fillId="0" borderId="0" xfId="1" applyAlignment="1">
      <alignment horizontal="center"/>
    </xf>
    <xf numFmtId="0" fontId="53" fillId="0" borderId="0" xfId="0" applyFont="1"/>
    <xf numFmtId="0" fontId="0" fillId="10" borderId="0" xfId="0" applyFill="1"/>
    <xf numFmtId="0" fontId="14" fillId="0" borderId="9" xfId="0" applyFont="1" applyBorder="1" applyAlignment="1">
      <alignment horizontal="left" vertical="center"/>
    </xf>
    <xf numFmtId="0" fontId="9" fillId="3" borderId="2" xfId="0" applyFont="1" applyFill="1" applyBorder="1" applyAlignment="1">
      <alignment horizontal="center" wrapText="1"/>
    </xf>
    <xf numFmtId="0" fontId="9" fillId="3" borderId="2" xfId="0" applyFont="1" applyFill="1" applyBorder="1" applyAlignment="1">
      <alignment horizontal="center"/>
    </xf>
    <xf numFmtId="0" fontId="9" fillId="3" borderId="22" xfId="0" applyFont="1" applyFill="1" applyBorder="1" applyAlignment="1">
      <alignment horizontal="center"/>
    </xf>
    <xf numFmtId="4" fontId="12" fillId="0" borderId="7" xfId="0" applyNumberFormat="1" applyFont="1" applyBorder="1" applyAlignment="1">
      <alignment horizontal="center"/>
    </xf>
    <xf numFmtId="0" fontId="14" fillId="0" borderId="11" xfId="0" applyFont="1" applyBorder="1" applyAlignment="1">
      <alignment vertical="center"/>
    </xf>
    <xf numFmtId="0" fontId="0" fillId="0" borderId="0" xfId="0" applyAlignment="1">
      <alignment horizontal="right"/>
    </xf>
    <xf numFmtId="0" fontId="4" fillId="0" borderId="0" xfId="0" applyFont="1" applyAlignment="1">
      <alignment horizontal="right"/>
    </xf>
    <xf numFmtId="0" fontId="0" fillId="0" borderId="3" xfId="0" applyBorder="1"/>
    <xf numFmtId="0" fontId="25" fillId="0" borderId="4" xfId="0" applyFont="1" applyBorder="1"/>
    <xf numFmtId="0" fontId="55" fillId="0" borderId="0" xfId="0" applyFont="1" applyAlignment="1">
      <alignment horizontal="center"/>
    </xf>
    <xf numFmtId="0" fontId="55" fillId="0" borderId="43" xfId="0" applyFont="1" applyBorder="1"/>
    <xf numFmtId="0" fontId="17" fillId="0" borderId="0" xfId="0" applyFont="1"/>
    <xf numFmtId="49" fontId="0" fillId="10" borderId="0" xfId="0" applyNumberFormat="1" applyFill="1"/>
    <xf numFmtId="0" fontId="33" fillId="0" borderId="0" xfId="0" applyFont="1"/>
    <xf numFmtId="0" fontId="4" fillId="10" borderId="0" xfId="0" applyFont="1" applyFill="1"/>
    <xf numFmtId="0" fontId="4" fillId="10" borderId="0" xfId="0" applyFont="1" applyFill="1" applyAlignment="1">
      <alignment wrapText="1"/>
    </xf>
    <xf numFmtId="0" fontId="59" fillId="0" borderId="0" xfId="0" applyFont="1"/>
    <xf numFmtId="3" fontId="17" fillId="3" borderId="42" xfId="0" applyNumberFormat="1" applyFont="1" applyFill="1" applyBorder="1" applyAlignment="1">
      <alignment vertical="center"/>
    </xf>
    <xf numFmtId="170" fontId="30" fillId="3" borderId="42" xfId="5" applyNumberFormat="1" applyFont="1" applyFill="1" applyBorder="1" applyAlignment="1"/>
    <xf numFmtId="170" fontId="30" fillId="3" borderId="13" xfId="5" applyNumberFormat="1" applyFont="1" applyFill="1" applyBorder="1" applyAlignment="1"/>
    <xf numFmtId="170" fontId="30" fillId="3" borderId="15" xfId="5" applyNumberFormat="1" applyFont="1" applyFill="1" applyBorder="1" applyAlignment="1"/>
    <xf numFmtId="170" fontId="30" fillId="3" borderId="52" xfId="5" applyNumberFormat="1" applyFont="1" applyFill="1" applyBorder="1" applyAlignment="1"/>
    <xf numFmtId="0" fontId="41" fillId="0" borderId="0" xfId="3" quotePrefix="1" applyFont="1"/>
    <xf numFmtId="3" fontId="41" fillId="0" borderId="0" xfId="3" quotePrefix="1" applyNumberFormat="1" applyFont="1"/>
    <xf numFmtId="2" fontId="41" fillId="0" borderId="0" xfId="3" applyNumberFormat="1" applyFont="1"/>
    <xf numFmtId="0" fontId="41" fillId="0" borderId="0" xfId="3" applyFont="1"/>
    <xf numFmtId="0" fontId="36" fillId="0" borderId="0" xfId="3" quotePrefix="1" applyFont="1" applyAlignment="1">
      <alignment horizontal="center"/>
    </xf>
    <xf numFmtId="3" fontId="36" fillId="0" borderId="0" xfId="3" quotePrefix="1" applyNumberFormat="1" applyFont="1" applyAlignment="1">
      <alignment horizontal="center"/>
    </xf>
    <xf numFmtId="0" fontId="36" fillId="0" borderId="0" xfId="3" quotePrefix="1" applyFont="1"/>
    <xf numFmtId="3" fontId="36" fillId="0" borderId="0" xfId="3" quotePrefix="1" applyNumberFormat="1" applyFont="1"/>
    <xf numFmtId="2" fontId="36" fillId="0" borderId="0" xfId="3" applyNumberFormat="1" applyFont="1"/>
    <xf numFmtId="2" fontId="39" fillId="0" borderId="0" xfId="3" applyNumberFormat="1" applyFont="1"/>
    <xf numFmtId="2" fontId="21" fillId="0" borderId="0" xfId="3" applyNumberFormat="1" applyFont="1"/>
    <xf numFmtId="2" fontId="38" fillId="0" borderId="0" xfId="3" applyNumberFormat="1" applyFont="1"/>
    <xf numFmtId="3" fontId="39" fillId="0" borderId="0" xfId="3" quotePrefix="1" applyNumberFormat="1" applyFont="1"/>
    <xf numFmtId="0" fontId="30" fillId="8" borderId="0" xfId="3" applyFont="1" applyFill="1"/>
    <xf numFmtId="0" fontId="60" fillId="0" borderId="0" xfId="3" applyFont="1"/>
    <xf numFmtId="0" fontId="41" fillId="0" borderId="0" xfId="3" quotePrefix="1" applyFont="1" applyAlignment="1">
      <alignment horizontal="left" indent="2"/>
    </xf>
    <xf numFmtId="0" fontId="29" fillId="0" borderId="0" xfId="3" applyFont="1" applyAlignment="1">
      <alignment horizontal="center"/>
    </xf>
    <xf numFmtId="3" fontId="29" fillId="0" borderId="0" xfId="3" applyNumberFormat="1" applyFont="1" applyAlignment="1">
      <alignment horizontal="center"/>
    </xf>
    <xf numFmtId="0" fontId="36" fillId="0" borderId="0" xfId="3" quotePrefix="1" applyFont="1" applyAlignment="1">
      <alignment horizontal="left" indent="2"/>
    </xf>
    <xf numFmtId="14" fontId="60" fillId="10" borderId="0" xfId="0" applyNumberFormat="1" applyFont="1" applyFill="1"/>
    <xf numFmtId="0" fontId="60" fillId="10" borderId="0" xfId="0" applyFont="1" applyFill="1"/>
    <xf numFmtId="0" fontId="9" fillId="3" borderId="18" xfId="2" applyFont="1" applyFill="1" applyBorder="1" applyAlignment="1">
      <alignment horizontal="center" vertical="center"/>
    </xf>
    <xf numFmtId="0" fontId="60" fillId="0" borderId="0" xfId="0" applyFont="1"/>
    <xf numFmtId="0" fontId="1" fillId="0" borderId="0" xfId="3" quotePrefix="1" applyFont="1"/>
    <xf numFmtId="170" fontId="30" fillId="3" borderId="49" xfId="5" applyNumberFormat="1" applyFont="1" applyFill="1" applyBorder="1" applyAlignment="1"/>
    <xf numFmtId="0" fontId="52" fillId="0" borderId="53" xfId="0" applyFont="1" applyBorder="1" applyAlignment="1">
      <alignment vertical="center"/>
    </xf>
    <xf numFmtId="0" fontId="0" fillId="0" borderId="54" xfId="0" applyBorder="1" applyAlignment="1">
      <alignment horizontal="left" vertical="center" wrapText="1"/>
    </xf>
    <xf numFmtId="0" fontId="9" fillId="3" borderId="55" xfId="2" applyFont="1" applyFill="1" applyBorder="1" applyAlignment="1">
      <alignment horizontal="center" vertical="center"/>
    </xf>
    <xf numFmtId="0" fontId="0" fillId="0" borderId="23" xfId="0" applyBorder="1"/>
    <xf numFmtId="0" fontId="9" fillId="0" borderId="23" xfId="0" applyFont="1" applyBorder="1" applyAlignment="1">
      <alignment horizontal="center" vertical="center"/>
    </xf>
    <xf numFmtId="0" fontId="12" fillId="3" borderId="13" xfId="0" applyFont="1" applyFill="1" applyBorder="1"/>
    <xf numFmtId="168" fontId="12" fillId="3" borderId="13" xfId="0" applyNumberFormat="1" applyFont="1" applyFill="1" applyBorder="1"/>
    <xf numFmtId="0" fontId="3" fillId="0" borderId="0" xfId="0" applyFont="1" applyAlignment="1">
      <alignment horizontal="right"/>
    </xf>
    <xf numFmtId="3" fontId="30" fillId="10" borderId="0" xfId="5" applyNumberFormat="1" applyFont="1" applyFill="1" applyBorder="1" applyAlignment="1">
      <alignment horizontal="center"/>
    </xf>
    <xf numFmtId="170" fontId="30" fillId="10" borderId="0" xfId="5" applyNumberFormat="1" applyFont="1" applyFill="1" applyBorder="1" applyAlignment="1">
      <alignment horizontal="center"/>
    </xf>
    <xf numFmtId="166" fontId="33" fillId="0" borderId="0" xfId="0" applyNumberFormat="1" applyFont="1"/>
    <xf numFmtId="0" fontId="12" fillId="3" borderId="13" xfId="0" applyFont="1" applyFill="1" applyBorder="1" applyAlignment="1">
      <alignment wrapText="1"/>
    </xf>
    <xf numFmtId="0" fontId="7" fillId="0" borderId="3" xfId="1" applyBorder="1" applyAlignment="1">
      <alignment vertical="center"/>
    </xf>
    <xf numFmtId="0" fontId="9" fillId="4" borderId="19" xfId="2" applyFont="1" applyFill="1" applyBorder="1" applyAlignment="1">
      <alignment horizontal="center" vertical="center" wrapText="1"/>
    </xf>
    <xf numFmtId="0" fontId="61" fillId="0" borderId="0" xfId="0" applyFont="1"/>
    <xf numFmtId="0" fontId="61" fillId="0" borderId="0" xfId="0" applyFont="1" applyAlignment="1">
      <alignment horizontal="left" vertical="center" readingOrder="1"/>
    </xf>
    <xf numFmtId="0" fontId="53" fillId="0" borderId="0" xfId="0" applyFont="1" applyAlignment="1">
      <alignment horizontal="left" vertical="center" readingOrder="1"/>
    </xf>
    <xf numFmtId="0" fontId="62" fillId="0" borderId="0" xfId="0" applyFont="1"/>
    <xf numFmtId="0" fontId="54" fillId="0" borderId="0" xfId="0" applyFont="1"/>
    <xf numFmtId="0" fontId="54" fillId="0" borderId="0" xfId="0" applyFont="1" applyAlignment="1">
      <alignment horizontal="left"/>
    </xf>
    <xf numFmtId="0" fontId="56" fillId="0" borderId="0" xfId="0" applyFont="1" applyAlignment="1">
      <alignment horizontal="left" indent="1"/>
    </xf>
    <xf numFmtId="0" fontId="63" fillId="0" borderId="0" xfId="0" applyFont="1"/>
    <xf numFmtId="0" fontId="0" fillId="4" borderId="0" xfId="0" applyFill="1"/>
    <xf numFmtId="0" fontId="0" fillId="2" borderId="0" xfId="0" applyFill="1"/>
    <xf numFmtId="0" fontId="45" fillId="0" borderId="0" xfId="0" applyFont="1" applyAlignment="1">
      <alignment horizontal="center" vertical="center" wrapText="1"/>
    </xf>
    <xf numFmtId="0" fontId="26" fillId="0" borderId="0" xfId="0" applyFont="1"/>
    <xf numFmtId="0" fontId="18" fillId="0" borderId="23" xfId="0" applyFont="1" applyBorder="1" applyAlignment="1">
      <alignment horizontal="center"/>
    </xf>
    <xf numFmtId="0" fontId="64" fillId="0" borderId="0" xfId="0" applyFont="1" applyAlignment="1">
      <alignment horizontal="right"/>
    </xf>
    <xf numFmtId="0" fontId="18" fillId="2" borderId="44" xfId="0" applyFont="1" applyFill="1" applyBorder="1" applyAlignment="1">
      <alignment horizontal="left" vertical="center"/>
    </xf>
    <xf numFmtId="0" fontId="10" fillId="3" borderId="2" xfId="0" applyFont="1" applyFill="1" applyBorder="1" applyAlignment="1">
      <alignment horizontal="right" vertical="center"/>
    </xf>
    <xf numFmtId="0" fontId="10" fillId="3" borderId="2" xfId="0" applyFont="1" applyFill="1" applyBorder="1" applyAlignment="1">
      <alignment horizontal="center" vertical="center"/>
    </xf>
    <xf numFmtId="0" fontId="10" fillId="0" borderId="0" xfId="0" applyFont="1" applyAlignment="1">
      <alignment horizontal="center" vertical="center"/>
    </xf>
    <xf numFmtId="0" fontId="10" fillId="2" borderId="1" xfId="0" quotePrefix="1" applyFont="1" applyFill="1" applyBorder="1" applyAlignment="1">
      <alignment horizontal="right" vertical="center"/>
    </xf>
    <xf numFmtId="0" fontId="10" fillId="4" borderId="1" xfId="0" applyFont="1" applyFill="1" applyBorder="1" applyAlignment="1">
      <alignment horizontal="center"/>
    </xf>
    <xf numFmtId="9" fontId="10" fillId="0" borderId="0" xfId="0" applyNumberFormat="1" applyFont="1"/>
    <xf numFmtId="0" fontId="18" fillId="0" borderId="1" xfId="0" applyFont="1" applyBorder="1" applyAlignment="1">
      <alignment horizontal="center"/>
    </xf>
    <xf numFmtId="0" fontId="18" fillId="2" borderId="23" xfId="0" applyFont="1" applyFill="1" applyBorder="1" applyAlignment="1">
      <alignment horizontal="left" vertical="center"/>
    </xf>
    <xf numFmtId="0" fontId="18" fillId="2" borderId="23" xfId="0" applyFont="1" applyFill="1" applyBorder="1" applyAlignment="1">
      <alignment horizontal="center" vertical="center"/>
    </xf>
    <xf numFmtId="0" fontId="10" fillId="2" borderId="1" xfId="0" applyFont="1" applyFill="1" applyBorder="1" applyAlignment="1">
      <alignment horizontal="left" vertical="center"/>
    </xf>
    <xf numFmtId="0" fontId="10" fillId="0" borderId="1" xfId="0" applyFont="1" applyBorder="1" applyAlignment="1">
      <alignment horizontal="right"/>
    </xf>
    <xf numFmtId="0" fontId="10" fillId="0" borderId="0" xfId="0" applyFont="1" applyAlignment="1">
      <alignment horizontal="right"/>
    </xf>
    <xf numFmtId="0" fontId="18" fillId="0" borderId="0" xfId="0" applyFont="1" applyAlignment="1">
      <alignment horizontal="left"/>
    </xf>
    <xf numFmtId="0" fontId="64" fillId="0" borderId="0" xfId="0" applyFont="1"/>
    <xf numFmtId="0" fontId="10" fillId="2" borderId="0" xfId="0" applyFont="1" applyFill="1" applyAlignment="1">
      <alignment horizontal="left" vertical="center"/>
    </xf>
    <xf numFmtId="0" fontId="10" fillId="3" borderId="1" xfId="0" applyFont="1" applyFill="1" applyBorder="1" applyAlignment="1">
      <alignment horizontal="center" vertical="center"/>
    </xf>
    <xf numFmtId="9" fontId="10" fillId="0" borderId="1" xfId="0" applyNumberFormat="1" applyFont="1" applyBorder="1" applyAlignment="1">
      <alignment horizontal="center" vertical="center"/>
    </xf>
    <xf numFmtId="0" fontId="10" fillId="0" borderId="0" xfId="0" applyFont="1" applyAlignment="1">
      <alignment horizontal="left"/>
    </xf>
    <xf numFmtId="0" fontId="18" fillId="2" borderId="0" xfId="0" applyFont="1" applyFill="1" applyAlignment="1">
      <alignment horizontal="left" vertical="center"/>
    </xf>
    <xf numFmtId="0" fontId="10" fillId="2" borderId="41" xfId="0" quotePrefix="1" applyFont="1" applyFill="1" applyBorder="1" applyAlignment="1">
      <alignment horizontal="right" vertical="center"/>
    </xf>
    <xf numFmtId="0" fontId="17" fillId="0" borderId="0" xfId="0" applyFont="1" applyAlignment="1">
      <alignment horizontal="center" vertical="center"/>
    </xf>
    <xf numFmtId="168" fontId="10" fillId="4" borderId="8" xfId="0" applyNumberFormat="1" applyFont="1" applyFill="1" applyBorder="1" applyAlignment="1">
      <alignment horizontal="center" vertical="center"/>
    </xf>
    <xf numFmtId="1" fontId="65" fillId="0" borderId="0" xfId="0" applyNumberFormat="1" applyFont="1" applyAlignment="1">
      <alignment horizontal="center" wrapText="1"/>
    </xf>
    <xf numFmtId="168" fontId="10" fillId="4" borderId="10" xfId="0" applyNumberFormat="1" applyFont="1" applyFill="1" applyBorder="1" applyAlignment="1">
      <alignment horizontal="center" vertical="center"/>
    </xf>
    <xf numFmtId="3" fontId="18" fillId="3" borderId="1" xfId="0" applyNumberFormat="1" applyFont="1" applyFill="1" applyBorder="1" applyAlignment="1">
      <alignment horizontal="center" vertical="center" wrapText="1"/>
    </xf>
    <xf numFmtId="3" fontId="18" fillId="3" borderId="10" xfId="0" applyNumberFormat="1" applyFont="1" applyFill="1" applyBorder="1" applyAlignment="1">
      <alignment horizontal="center" vertical="center" wrapText="1"/>
    </xf>
    <xf numFmtId="168" fontId="10" fillId="4" borderId="15" xfId="0" applyNumberFormat="1" applyFont="1" applyFill="1" applyBorder="1" applyAlignment="1">
      <alignment horizontal="center" vertical="center"/>
    </xf>
    <xf numFmtId="0" fontId="10" fillId="0" borderId="0" xfId="0" applyFont="1" applyAlignment="1">
      <alignment wrapText="1"/>
    </xf>
    <xf numFmtId="0" fontId="10" fillId="0" borderId="5" xfId="0" applyFont="1" applyBorder="1" applyAlignment="1">
      <alignment horizontal="center" vertical="center"/>
    </xf>
    <xf numFmtId="0" fontId="17" fillId="3" borderId="2" xfId="0" applyFont="1" applyFill="1" applyBorder="1" applyAlignment="1">
      <alignment horizontal="center" vertical="center"/>
    </xf>
    <xf numFmtId="0" fontId="18" fillId="2" borderId="23" xfId="0" applyFont="1" applyFill="1" applyBorder="1" applyAlignment="1">
      <alignment horizontal="right" vertical="center"/>
    </xf>
    <xf numFmtId="0" fontId="64" fillId="0" borderId="0" xfId="0" applyFont="1" applyAlignment="1">
      <alignment horizontal="left"/>
    </xf>
    <xf numFmtId="9" fontId="10" fillId="2" borderId="1" xfId="0" applyNumberFormat="1" applyFont="1" applyFill="1" applyBorder="1" applyAlignment="1">
      <alignment horizontal="center" vertical="center"/>
    </xf>
    <xf numFmtId="0" fontId="10" fillId="0" borderId="12" xfId="0" applyFont="1" applyBorder="1" applyAlignment="1">
      <alignment wrapText="1"/>
    </xf>
    <xf numFmtId="0" fontId="66" fillId="0" borderId="16" xfId="0" applyFont="1" applyBorder="1"/>
    <xf numFmtId="0" fontId="66" fillId="0" borderId="0" xfId="0" applyFont="1"/>
    <xf numFmtId="0" fontId="17" fillId="0" borderId="16" xfId="0" applyFont="1" applyBorder="1" applyAlignment="1">
      <alignment wrapText="1"/>
    </xf>
    <xf numFmtId="0" fontId="17" fillId="0" borderId="0" xfId="0" applyFont="1" applyAlignment="1">
      <alignment wrapText="1"/>
    </xf>
    <xf numFmtId="0" fontId="18" fillId="0" borderId="0" xfId="0" applyFont="1"/>
    <xf numFmtId="0" fontId="67" fillId="2" borderId="0" xfId="0" applyFont="1" applyFill="1" applyAlignment="1">
      <alignment horizontal="left" vertical="center"/>
    </xf>
    <xf numFmtId="0" fontId="0" fillId="5" borderId="0" xfId="0" applyFill="1"/>
    <xf numFmtId="0" fontId="4" fillId="0" borderId="4" xfId="0" applyFont="1" applyBorder="1"/>
    <xf numFmtId="171" fontId="4" fillId="0" borderId="1" xfId="0" applyNumberFormat="1" applyFont="1" applyBorder="1"/>
    <xf numFmtId="0" fontId="9" fillId="4" borderId="1" xfId="0" applyFont="1" applyFill="1" applyBorder="1" applyAlignment="1">
      <alignment horizontal="center" vertical="center"/>
    </xf>
    <xf numFmtId="171" fontId="26" fillId="4" borderId="1" xfId="0" applyNumberFormat="1" applyFont="1" applyFill="1" applyBorder="1"/>
    <xf numFmtId="168" fontId="12" fillId="0" borderId="0" xfId="0" applyNumberFormat="1" applyFont="1"/>
    <xf numFmtId="0" fontId="0" fillId="0" borderId="2" xfId="0" applyBorder="1"/>
    <xf numFmtId="168" fontId="0" fillId="0" borderId="2" xfId="0" applyNumberFormat="1" applyBorder="1"/>
    <xf numFmtId="9" fontId="26" fillId="4" borderId="1" xfId="0" applyNumberFormat="1" applyFont="1" applyFill="1" applyBorder="1"/>
    <xf numFmtId="0" fontId="4" fillId="4" borderId="0" xfId="0" applyFont="1" applyFill="1" applyAlignment="1">
      <alignment horizontal="left"/>
    </xf>
    <xf numFmtId="0" fontId="4" fillId="0" borderId="0" xfId="0" applyFont="1" applyAlignment="1">
      <alignment horizontal="left"/>
    </xf>
    <xf numFmtId="0" fontId="54" fillId="2" borderId="0" xfId="0" applyFont="1" applyFill="1"/>
    <xf numFmtId="0" fontId="48" fillId="2" borderId="0" xfId="0" applyFont="1" applyFill="1"/>
    <xf numFmtId="0" fontId="27" fillId="2" borderId="0" xfId="0" applyFont="1" applyFill="1"/>
    <xf numFmtId="0" fontId="0" fillId="2" borderId="0" xfId="0" applyFill="1" applyAlignment="1">
      <alignment horizontal="left" vertical="top" wrapText="1"/>
    </xf>
    <xf numFmtId="14" fontId="0" fillId="0" borderId="1" xfId="0" applyNumberFormat="1" applyBorder="1" applyAlignment="1">
      <alignment horizontal="left" vertical="center"/>
    </xf>
    <xf numFmtId="0" fontId="4" fillId="0" borderId="1" xfId="0" applyFont="1" applyBorder="1" applyAlignment="1">
      <alignment horizontal="center" vertical="center"/>
    </xf>
    <xf numFmtId="0" fontId="4" fillId="0" borderId="1" xfId="0" applyFont="1" applyBorder="1" applyAlignment="1">
      <alignment vertical="center" wrapText="1"/>
    </xf>
    <xf numFmtId="14" fontId="0" fillId="0" borderId="1" xfId="0" applyNumberFormat="1" applyBorder="1" applyAlignment="1">
      <alignment horizontal="center" vertical="center"/>
    </xf>
    <xf numFmtId="0" fontId="47" fillId="0" borderId="0" xfId="0" applyFont="1" applyAlignment="1">
      <alignment horizontal="right"/>
    </xf>
    <xf numFmtId="0" fontId="44" fillId="3" borderId="20" xfId="0" applyFont="1" applyFill="1" applyBorder="1"/>
    <xf numFmtId="168" fontId="44" fillId="3" borderId="18" xfId="0" applyNumberFormat="1" applyFont="1" applyFill="1" applyBorder="1"/>
    <xf numFmtId="168" fontId="44" fillId="3" borderId="19" xfId="0" applyNumberFormat="1" applyFont="1" applyFill="1" applyBorder="1"/>
    <xf numFmtId="0" fontId="44" fillId="3" borderId="47" xfId="0" applyFont="1" applyFill="1" applyBorder="1"/>
    <xf numFmtId="168" fontId="44" fillId="3" borderId="7" xfId="0" applyNumberFormat="1" applyFont="1" applyFill="1" applyBorder="1"/>
    <xf numFmtId="168" fontId="44" fillId="3" borderId="8" xfId="0" applyNumberFormat="1" applyFont="1" applyFill="1" applyBorder="1"/>
    <xf numFmtId="0" fontId="0" fillId="3" borderId="41" xfId="0" applyFill="1" applyBorder="1"/>
    <xf numFmtId="168" fontId="0" fillId="3" borderId="1" xfId="0" applyNumberFormat="1" applyFill="1" applyBorder="1"/>
    <xf numFmtId="168" fontId="0" fillId="3" borderId="10" xfId="0" applyNumberFormat="1" applyFill="1" applyBorder="1"/>
    <xf numFmtId="0" fontId="0" fillId="3" borderId="42" xfId="0" applyFill="1" applyBorder="1"/>
    <xf numFmtId="9" fontId="0" fillId="3" borderId="13" xfId="6" applyFont="1" applyFill="1" applyBorder="1"/>
    <xf numFmtId="9" fontId="0" fillId="3" borderId="15" xfId="6" applyFont="1" applyFill="1" applyBorder="1"/>
    <xf numFmtId="0" fontId="4" fillId="15" borderId="0" xfId="0" applyFont="1" applyFill="1"/>
    <xf numFmtId="0" fontId="8" fillId="15" borderId="1" xfId="0" applyFont="1" applyFill="1" applyBorder="1" applyAlignment="1">
      <alignment vertical="center" wrapText="1"/>
    </xf>
    <xf numFmtId="0" fontId="10" fillId="15" borderId="1" xfId="0" applyFont="1" applyFill="1" applyBorder="1" applyAlignment="1">
      <alignment vertical="center" wrapText="1"/>
    </xf>
    <xf numFmtId="0" fontId="8" fillId="15" borderId="4" xfId="0" applyFont="1" applyFill="1" applyBorder="1" applyAlignment="1">
      <alignment vertical="center"/>
    </xf>
    <xf numFmtId="0" fontId="8" fillId="15" borderId="1" xfId="0" applyFont="1" applyFill="1" applyBorder="1" applyAlignment="1">
      <alignment horizontal="left" vertical="center" wrapText="1"/>
    </xf>
    <xf numFmtId="14" fontId="45" fillId="0" borderId="0" xfId="0" applyNumberFormat="1" applyFont="1" applyAlignment="1">
      <alignment vertical="center" wrapText="1"/>
    </xf>
    <xf numFmtId="14" fontId="0" fillId="12" borderId="0" xfId="0" applyNumberFormat="1" applyFill="1" applyAlignment="1">
      <alignment horizontal="left"/>
    </xf>
    <xf numFmtId="14" fontId="0" fillId="4" borderId="0" xfId="0" applyNumberFormat="1" applyFill="1" applyAlignment="1">
      <alignment horizontal="left"/>
    </xf>
    <xf numFmtId="0" fontId="7" fillId="0" borderId="3" xfId="1" applyBorder="1" applyAlignment="1">
      <alignment horizontal="center" vertical="center"/>
    </xf>
    <xf numFmtId="0" fontId="9" fillId="3" borderId="25" xfId="0" applyFont="1" applyFill="1" applyBorder="1" applyAlignment="1">
      <alignment horizontal="center" vertical="center" wrapText="1"/>
    </xf>
    <xf numFmtId="0" fontId="45" fillId="14" borderId="0" xfId="0" applyFont="1" applyFill="1" applyAlignment="1">
      <alignment vertical="center" wrapText="1"/>
    </xf>
    <xf numFmtId="0" fontId="0" fillId="14" borderId="0" xfId="0" applyFill="1"/>
    <xf numFmtId="0" fontId="10" fillId="0" borderId="25" xfId="0" applyFont="1" applyBorder="1" applyAlignment="1">
      <alignment horizontal="center" vertical="center"/>
    </xf>
    <xf numFmtId="0" fontId="10" fillId="0" borderId="41" xfId="0" applyFont="1" applyBorder="1" applyAlignment="1">
      <alignment horizontal="center" vertical="center"/>
    </xf>
    <xf numFmtId="0" fontId="10" fillId="0" borderId="14" xfId="0" applyFont="1" applyBorder="1" applyAlignment="1">
      <alignment horizontal="center" vertical="center"/>
    </xf>
    <xf numFmtId="170" fontId="66" fillId="0" borderId="16" xfId="0" applyNumberFormat="1" applyFont="1" applyBorder="1" applyAlignment="1">
      <alignment horizontal="center" vertical="center" wrapText="1"/>
    </xf>
    <xf numFmtId="170" fontId="66" fillId="0" borderId="16" xfId="0" applyNumberFormat="1" applyFont="1" applyBorder="1" applyAlignment="1">
      <alignment horizontal="center" wrapText="1"/>
    </xf>
    <xf numFmtId="170" fontId="66" fillId="0" borderId="16" xfId="0" applyNumberFormat="1" applyFont="1" applyBorder="1" applyAlignment="1">
      <alignment horizontal="center"/>
    </xf>
    <xf numFmtId="170" fontId="17" fillId="0" borderId="16" xfId="0" applyNumberFormat="1" applyFont="1" applyBorder="1" applyAlignment="1">
      <alignment horizontal="center" vertical="center" wrapText="1"/>
    </xf>
    <xf numFmtId="170" fontId="17" fillId="0" borderId="16" xfId="0" applyNumberFormat="1" applyFont="1" applyBorder="1" applyAlignment="1">
      <alignment horizontal="center" vertical="center"/>
    </xf>
    <xf numFmtId="0" fontId="10" fillId="4" borderId="7" xfId="0" applyFont="1" applyFill="1" applyBorder="1" applyAlignment="1">
      <alignment horizontal="center" vertical="center"/>
    </xf>
    <xf numFmtId="0" fontId="10" fillId="4" borderId="1" xfId="0" applyFont="1" applyFill="1" applyBorder="1" applyAlignment="1">
      <alignment horizontal="center" vertical="center"/>
    </xf>
    <xf numFmtId="0" fontId="10" fillId="4" borderId="13" xfId="0" applyFont="1" applyFill="1" applyBorder="1" applyAlignment="1">
      <alignment horizontal="center" vertical="center"/>
    </xf>
    <xf numFmtId="0" fontId="10" fillId="2" borderId="24" xfId="0" quotePrefix="1" applyFont="1" applyFill="1" applyBorder="1" applyAlignment="1">
      <alignment horizontal="right" vertical="center"/>
    </xf>
    <xf numFmtId="9" fontId="10" fillId="4" borderId="1" xfId="0" applyNumberFormat="1" applyFont="1" applyFill="1" applyBorder="1" applyAlignment="1">
      <alignment horizontal="center" vertical="center"/>
    </xf>
    <xf numFmtId="170" fontId="17" fillId="4" borderId="20" xfId="0" applyNumberFormat="1" applyFont="1" applyFill="1" applyBorder="1" applyAlignment="1">
      <alignment horizontal="center"/>
    </xf>
    <xf numFmtId="170" fontId="17" fillId="4" borderId="18" xfId="0" applyNumberFormat="1" applyFont="1" applyFill="1" applyBorder="1" applyAlignment="1">
      <alignment horizontal="center"/>
    </xf>
    <xf numFmtId="170" fontId="17" fillId="4" borderId="19" xfId="0" applyNumberFormat="1" applyFont="1" applyFill="1" applyBorder="1" applyAlignment="1">
      <alignment horizontal="center"/>
    </xf>
    <xf numFmtId="0" fontId="10" fillId="4" borderId="1" xfId="0" quotePrefix="1" applyFont="1" applyFill="1" applyBorder="1" applyAlignment="1">
      <alignment horizontal="right" vertical="center"/>
    </xf>
    <xf numFmtId="0" fontId="10" fillId="4" borderId="1" xfId="0" applyFont="1" applyFill="1" applyBorder="1"/>
    <xf numFmtId="0" fontId="10" fillId="0" borderId="47" xfId="0" applyFont="1" applyBorder="1" applyAlignment="1">
      <alignment horizontal="right"/>
    </xf>
    <xf numFmtId="0" fontId="10" fillId="0" borderId="8" xfId="0" applyFont="1" applyBorder="1" applyAlignment="1">
      <alignment horizontal="right"/>
    </xf>
    <xf numFmtId="0" fontId="10" fillId="0" borderId="41" xfId="0" applyFont="1" applyBorder="1" applyAlignment="1">
      <alignment horizontal="right"/>
    </xf>
    <xf numFmtId="0" fontId="10" fillId="0" borderId="10" xfId="0" applyFont="1" applyBorder="1" applyAlignment="1">
      <alignment horizontal="right"/>
    </xf>
    <xf numFmtId="0" fontId="10" fillId="0" borderId="42" xfId="0" applyFont="1" applyBorder="1" applyAlignment="1">
      <alignment horizontal="right"/>
    </xf>
    <xf numFmtId="0" fontId="10" fillId="0" borderId="15" xfId="0" applyFont="1" applyBorder="1" applyAlignment="1">
      <alignment horizontal="right"/>
    </xf>
    <xf numFmtId="0" fontId="17" fillId="4" borderId="32" xfId="0" applyFont="1" applyFill="1" applyBorder="1" applyAlignment="1">
      <alignment wrapText="1"/>
    </xf>
    <xf numFmtId="0" fontId="18" fillId="0" borderId="43" xfId="0" applyFont="1" applyBorder="1" applyAlignment="1">
      <alignment horizontal="center"/>
    </xf>
    <xf numFmtId="168" fontId="10" fillId="4" borderId="1" xfId="0" applyNumberFormat="1" applyFont="1" applyFill="1" applyBorder="1" applyAlignment="1">
      <alignment horizontal="center" vertical="center"/>
    </xf>
    <xf numFmtId="0" fontId="10" fillId="0" borderId="1" xfId="0" applyFont="1" applyBorder="1" applyAlignment="1">
      <alignment wrapText="1"/>
    </xf>
    <xf numFmtId="3" fontId="66" fillId="0" borderId="0" xfId="0" applyNumberFormat="1" applyFont="1" applyAlignment="1">
      <alignment horizontal="center" vertical="center" wrapText="1"/>
    </xf>
    <xf numFmtId="3" fontId="66" fillId="0" borderId="0" xfId="0" applyNumberFormat="1" applyFont="1" applyAlignment="1">
      <alignment horizontal="center" vertical="center"/>
    </xf>
    <xf numFmtId="168" fontId="10" fillId="4" borderId="1" xfId="0" applyNumberFormat="1" applyFont="1" applyFill="1" applyBorder="1"/>
    <xf numFmtId="170" fontId="17" fillId="3" borderId="20" xfId="5" applyNumberFormat="1" applyFont="1" applyFill="1" applyBorder="1" applyAlignment="1">
      <alignment horizontal="center" vertical="center"/>
    </xf>
    <xf numFmtId="170" fontId="17" fillId="3" borderId="32" xfId="5" applyNumberFormat="1" applyFont="1" applyFill="1" applyBorder="1" applyAlignment="1">
      <alignment horizontal="center" vertical="center"/>
    </xf>
    <xf numFmtId="172" fontId="10" fillId="4" borderId="1" xfId="0" applyNumberFormat="1" applyFont="1" applyFill="1" applyBorder="1" applyAlignment="1">
      <alignment horizontal="center"/>
    </xf>
    <xf numFmtId="172" fontId="10" fillId="4" borderId="1" xfId="0" applyNumberFormat="1" applyFont="1" applyFill="1" applyBorder="1" applyAlignment="1">
      <alignment horizontal="center" vertical="center" wrapText="1"/>
    </xf>
    <xf numFmtId="172" fontId="10" fillId="0" borderId="1" xfId="0" applyNumberFormat="1" applyFont="1" applyBorder="1"/>
    <xf numFmtId="172" fontId="10" fillId="0" borderId="2" xfId="0" applyNumberFormat="1" applyFont="1" applyBorder="1" applyAlignment="1">
      <alignment horizontal="center" wrapText="1"/>
    </xf>
    <xf numFmtId="9" fontId="18" fillId="2" borderId="23" xfId="0" applyNumberFormat="1" applyFont="1" applyFill="1" applyBorder="1" applyAlignment="1">
      <alignment horizontal="center"/>
    </xf>
    <xf numFmtId="0" fontId="18" fillId="2" borderId="64" xfId="0" applyFont="1" applyFill="1" applyBorder="1" applyAlignment="1">
      <alignment horizontal="right" vertical="center"/>
    </xf>
    <xf numFmtId="0" fontId="18" fillId="2" borderId="43" xfId="0" applyFont="1" applyFill="1" applyBorder="1" applyAlignment="1">
      <alignment horizontal="center" vertical="center"/>
    </xf>
    <xf numFmtId="0" fontId="10" fillId="0" borderId="2" xfId="0" applyFont="1" applyBorder="1"/>
    <xf numFmtId="0" fontId="10" fillId="0" borderId="44" xfId="0" applyFont="1" applyBorder="1"/>
    <xf numFmtId="0" fontId="10" fillId="0" borderId="23" xfId="0" applyFont="1" applyBorder="1" applyAlignment="1">
      <alignment wrapText="1"/>
    </xf>
    <xf numFmtId="0" fontId="65" fillId="0" borderId="38" xfId="0" applyFont="1" applyBorder="1" applyAlignment="1">
      <alignment wrapText="1"/>
    </xf>
    <xf numFmtId="0" fontId="65" fillId="0" borderId="63" xfId="0" applyFont="1" applyBorder="1" applyAlignment="1">
      <alignment wrapText="1"/>
    </xf>
    <xf numFmtId="0" fontId="65" fillId="0" borderId="65" xfId="0" applyFont="1" applyBorder="1" applyAlignment="1">
      <alignment wrapText="1"/>
    </xf>
    <xf numFmtId="0" fontId="17" fillId="4" borderId="50" xfId="0" applyFont="1" applyFill="1" applyBorder="1" applyAlignment="1">
      <alignment wrapText="1"/>
    </xf>
    <xf numFmtId="0" fontId="17" fillId="0" borderId="32" xfId="0" applyFont="1" applyBorder="1"/>
    <xf numFmtId="0" fontId="14" fillId="0" borderId="61" xfId="0" applyFont="1" applyBorder="1" applyAlignment="1">
      <alignment vertical="center"/>
    </xf>
    <xf numFmtId="0" fontId="14" fillId="0" borderId="40" xfId="0" applyFont="1" applyBorder="1" applyAlignment="1">
      <alignment vertical="center"/>
    </xf>
    <xf numFmtId="0" fontId="9" fillId="0" borderId="61" xfId="0" applyFont="1" applyBorder="1" applyAlignment="1">
      <alignment vertical="center"/>
    </xf>
    <xf numFmtId="0" fontId="14" fillId="0" borderId="41" xfId="0" applyFont="1" applyBorder="1" applyAlignment="1">
      <alignment vertical="center"/>
    </xf>
    <xf numFmtId="0" fontId="14" fillId="0" borderId="41" xfId="0" applyFont="1" applyBorder="1" applyAlignment="1">
      <alignment horizontal="left" vertical="center"/>
    </xf>
    <xf numFmtId="168" fontId="10" fillId="0" borderId="23" xfId="0" applyNumberFormat="1" applyFont="1" applyBorder="1" applyAlignment="1">
      <alignment horizontal="center" vertical="center"/>
    </xf>
    <xf numFmtId="0" fontId="14" fillId="0" borderId="23" xfId="0" applyFont="1" applyBorder="1" applyAlignment="1">
      <alignment horizontal="left" vertical="center"/>
    </xf>
    <xf numFmtId="168" fontId="10" fillId="0" borderId="66" xfId="0" applyNumberFormat="1" applyFont="1" applyBorder="1" applyAlignment="1">
      <alignment horizontal="center" vertical="center"/>
    </xf>
    <xf numFmtId="0" fontId="14" fillId="0" borderId="48" xfId="0" applyFont="1" applyBorder="1" applyAlignment="1">
      <alignment vertical="center"/>
    </xf>
    <xf numFmtId="168" fontId="10" fillId="0" borderId="48" xfId="0" applyNumberFormat="1" applyFont="1" applyBorder="1" applyAlignment="1">
      <alignment horizontal="center" vertical="center"/>
    </xf>
    <xf numFmtId="168" fontId="42" fillId="0" borderId="48" xfId="0" applyNumberFormat="1" applyFont="1" applyBorder="1" applyAlignment="1">
      <alignment horizontal="center" vertical="center"/>
    </xf>
    <xf numFmtId="168" fontId="42" fillId="0" borderId="49" xfId="0" applyNumberFormat="1" applyFont="1" applyBorder="1" applyAlignment="1">
      <alignment horizontal="center" vertical="center"/>
    </xf>
    <xf numFmtId="4" fontId="42" fillId="0" borderId="49" xfId="0" applyNumberFormat="1" applyFont="1" applyBorder="1" applyAlignment="1">
      <alignment horizontal="center" vertical="center"/>
    </xf>
    <xf numFmtId="4" fontId="10" fillId="0" borderId="48" xfId="0" applyNumberFormat="1" applyFont="1" applyBorder="1" applyAlignment="1">
      <alignment horizontal="center" vertical="center"/>
    </xf>
    <xf numFmtId="4" fontId="16" fillId="0" borderId="48" xfId="0" applyNumberFormat="1" applyFont="1" applyBorder="1" applyAlignment="1">
      <alignment horizontal="center" vertical="center"/>
    </xf>
    <xf numFmtId="4" fontId="8" fillId="0" borderId="48" xfId="0" applyNumberFormat="1" applyFont="1" applyBorder="1" applyAlignment="1">
      <alignment horizontal="center" vertical="center"/>
    </xf>
    <xf numFmtId="0" fontId="14" fillId="4" borderId="40" xfId="0" applyFont="1" applyFill="1" applyBorder="1" applyAlignment="1">
      <alignment vertical="center"/>
    </xf>
    <xf numFmtId="4" fontId="8" fillId="4" borderId="1" xfId="0" applyNumberFormat="1" applyFont="1" applyFill="1" applyBorder="1" applyAlignment="1">
      <alignment horizontal="center" vertical="center"/>
    </xf>
    <xf numFmtId="4" fontId="8" fillId="4" borderId="10" xfId="0" applyNumberFormat="1" applyFont="1" applyFill="1" applyBorder="1" applyAlignment="1">
      <alignment horizontal="center" vertical="center"/>
    </xf>
    <xf numFmtId="4" fontId="10" fillId="4" borderId="1" xfId="0" applyNumberFormat="1" applyFont="1" applyFill="1" applyBorder="1" applyAlignment="1">
      <alignment horizontal="center" vertical="center"/>
    </xf>
    <xf numFmtId="4" fontId="14" fillId="4" borderId="1" xfId="0" applyNumberFormat="1" applyFont="1" applyFill="1" applyBorder="1" applyAlignment="1">
      <alignment horizontal="center" vertical="center"/>
    </xf>
    <xf numFmtId="4" fontId="14" fillId="4" borderId="10" xfId="0" applyNumberFormat="1" applyFont="1" applyFill="1" applyBorder="1" applyAlignment="1">
      <alignment horizontal="center" vertical="center"/>
    </xf>
    <xf numFmtId="168" fontId="8" fillId="4" borderId="1" xfId="0" applyNumberFormat="1" applyFont="1" applyFill="1" applyBorder="1" applyAlignment="1">
      <alignment horizontal="right" vertical="center"/>
    </xf>
    <xf numFmtId="168" fontId="8" fillId="4" borderId="1" xfId="0" applyNumberFormat="1" applyFont="1" applyFill="1" applyBorder="1" applyAlignment="1">
      <alignment vertical="center"/>
    </xf>
    <xf numFmtId="168" fontId="14" fillId="4" borderId="1" xfId="0" applyNumberFormat="1" applyFont="1" applyFill="1" applyBorder="1" applyAlignment="1">
      <alignment vertical="center"/>
    </xf>
    <xf numFmtId="168" fontId="14" fillId="4" borderId="1" xfId="0" applyNumberFormat="1" applyFont="1" applyFill="1" applyBorder="1" applyAlignment="1">
      <alignment vertical="center" wrapText="1"/>
    </xf>
    <xf numFmtId="165" fontId="16" fillId="4" borderId="1" xfId="0" applyNumberFormat="1" applyFont="1" applyFill="1" applyBorder="1" applyAlignment="1">
      <alignment vertical="center"/>
    </xf>
    <xf numFmtId="164" fontId="16" fillId="4" borderId="1" xfId="0" applyNumberFormat="1" applyFont="1" applyFill="1" applyBorder="1" applyAlignment="1">
      <alignment vertical="center"/>
    </xf>
    <xf numFmtId="165" fontId="15" fillId="4" borderId="1" xfId="0" applyNumberFormat="1" applyFont="1" applyFill="1" applyBorder="1" applyAlignment="1">
      <alignment vertical="center"/>
    </xf>
    <xf numFmtId="164" fontId="0" fillId="4" borderId="1" xfId="0" applyNumberFormat="1" applyFill="1" applyBorder="1" applyAlignment="1">
      <alignment vertical="center"/>
    </xf>
    <xf numFmtId="0" fontId="0" fillId="12" borderId="0" xfId="0" applyFill="1"/>
    <xf numFmtId="0" fontId="68" fillId="0" borderId="0" xfId="0" applyFont="1"/>
    <xf numFmtId="0" fontId="9" fillId="12" borderId="1" xfId="0" applyFont="1" applyFill="1" applyBorder="1" applyAlignment="1">
      <alignment horizontal="center" vertical="center"/>
    </xf>
    <xf numFmtId="0" fontId="9" fillId="2" borderId="1" xfId="0" applyFont="1" applyFill="1" applyBorder="1" applyAlignment="1">
      <alignment horizontal="center" vertical="center"/>
    </xf>
    <xf numFmtId="0" fontId="0" fillId="0" borderId="4" xfId="0" applyBorder="1"/>
    <xf numFmtId="172" fontId="0" fillId="0" borderId="23" xfId="0" applyNumberFormat="1" applyBorder="1"/>
    <xf numFmtId="0" fontId="0" fillId="0" borderId="24" xfId="0" applyBorder="1"/>
    <xf numFmtId="0" fontId="26" fillId="0" borderId="59" xfId="0" applyFont="1" applyBorder="1"/>
    <xf numFmtId="0" fontId="26" fillId="0" borderId="44" xfId="0" applyFont="1" applyBorder="1"/>
    <xf numFmtId="172" fontId="0" fillId="0" borderId="1" xfId="0" applyNumberFormat="1" applyBorder="1" applyAlignment="1">
      <alignment horizontal="center" vertical="center"/>
    </xf>
    <xf numFmtId="0" fontId="69" fillId="0" borderId="0" xfId="7"/>
    <xf numFmtId="0" fontId="70" fillId="19" borderId="4" xfId="7" applyFont="1" applyFill="1" applyBorder="1" applyAlignment="1">
      <alignment horizontal="center" vertical="center"/>
    </xf>
    <xf numFmtId="0" fontId="71" fillId="0" borderId="0" xfId="7" applyFont="1" applyAlignment="1">
      <alignment horizontal="right" vertical="center"/>
    </xf>
    <xf numFmtId="173" fontId="72" fillId="18" borderId="0" xfId="7" applyNumberFormat="1" applyFont="1" applyFill="1"/>
    <xf numFmtId="0" fontId="73" fillId="0" borderId="0" xfId="7" applyFont="1"/>
    <xf numFmtId="0" fontId="69" fillId="0" borderId="1" xfId="7" applyBorder="1"/>
    <xf numFmtId="0" fontId="69" fillId="0" borderId="1" xfId="7" applyBorder="1" applyAlignment="1">
      <alignment horizontal="center" vertical="center" wrapText="1"/>
    </xf>
    <xf numFmtId="0" fontId="58" fillId="7" borderId="1" xfId="7" applyFont="1" applyFill="1" applyBorder="1" applyAlignment="1">
      <alignment horizontal="center" wrapText="1"/>
    </xf>
    <xf numFmtId="3" fontId="17" fillId="7" borderId="1" xfId="7" applyNumberFormat="1" applyFont="1" applyFill="1" applyBorder="1" applyAlignment="1">
      <alignment horizontal="center"/>
    </xf>
    <xf numFmtId="0" fontId="4" fillId="15" borderId="1" xfId="7" applyFont="1" applyFill="1" applyBorder="1"/>
    <xf numFmtId="0" fontId="69" fillId="17" borderId="0" xfId="7" applyFill="1"/>
    <xf numFmtId="0" fontId="69" fillId="20" borderId="0" xfId="7" applyFill="1"/>
    <xf numFmtId="3" fontId="52" fillId="0" borderId="0" xfId="7" applyNumberFormat="1" applyFont="1" applyAlignment="1">
      <alignment horizontal="center"/>
    </xf>
    <xf numFmtId="0" fontId="4" fillId="3" borderId="0" xfId="7" applyFont="1" applyFill="1" applyAlignment="1">
      <alignment horizontal="left"/>
    </xf>
    <xf numFmtId="0" fontId="74" fillId="0" borderId="0" xfId="7" applyFont="1" applyAlignment="1">
      <alignment horizontal="left"/>
    </xf>
    <xf numFmtId="0" fontId="4" fillId="0" borderId="0" xfId="7" quotePrefix="1" applyFont="1"/>
    <xf numFmtId="0" fontId="52" fillId="0" borderId="0" xfId="7" applyFont="1"/>
    <xf numFmtId="0" fontId="17" fillId="0" borderId="0" xfId="7" quotePrefix="1" applyFont="1"/>
    <xf numFmtId="0" fontId="69" fillId="0" borderId="0" xfId="7" applyAlignment="1">
      <alignment horizontal="left"/>
    </xf>
    <xf numFmtId="0" fontId="69" fillId="0" borderId="0" xfId="7" applyAlignment="1">
      <alignment horizontal="right"/>
    </xf>
    <xf numFmtId="3" fontId="52" fillId="0" borderId="0" xfId="7" applyNumberFormat="1" applyFont="1" applyAlignment="1">
      <alignment horizontal="right"/>
    </xf>
    <xf numFmtId="0" fontId="3" fillId="0" borderId="0" xfId="7" applyFont="1"/>
    <xf numFmtId="0" fontId="75" fillId="0" borderId="0" xfId="7" applyFont="1" applyAlignment="1">
      <alignment horizontal="center"/>
    </xf>
    <xf numFmtId="3" fontId="69" fillId="0" borderId="0" xfId="7" applyNumberFormat="1" applyAlignment="1">
      <alignment horizontal="center"/>
    </xf>
    <xf numFmtId="0" fontId="4" fillId="21" borderId="0" xfId="7" applyFont="1" applyFill="1" applyAlignment="1">
      <alignment horizontal="center"/>
    </xf>
    <xf numFmtId="174" fontId="52" fillId="0" borderId="0" xfId="7" applyNumberFormat="1" applyFont="1" applyAlignment="1">
      <alignment horizontal="center"/>
    </xf>
    <xf numFmtId="0" fontId="69" fillId="0" borderId="0" xfId="7" applyAlignment="1">
      <alignment vertical="top"/>
    </xf>
    <xf numFmtId="0" fontId="69" fillId="21" borderId="0" xfId="7" applyFill="1" applyAlignment="1">
      <alignment vertical="top"/>
    </xf>
    <xf numFmtId="174" fontId="52" fillId="0" borderId="43" xfId="7" applyNumberFormat="1" applyFont="1" applyBorder="1" applyAlignment="1">
      <alignment horizontal="center"/>
    </xf>
    <xf numFmtId="0" fontId="0" fillId="4" borderId="0" xfId="0" applyFill="1" applyAlignment="1">
      <alignment horizontal="left" vertical="center"/>
    </xf>
    <xf numFmtId="49" fontId="0" fillId="4" borderId="0" xfId="0" applyNumberFormat="1" applyFill="1" applyAlignment="1">
      <alignment horizontal="left" vertical="center"/>
    </xf>
    <xf numFmtId="3" fontId="76" fillId="0" borderId="0" xfId="0" applyNumberFormat="1" applyFont="1" applyAlignment="1">
      <alignment vertical="center"/>
    </xf>
    <xf numFmtId="170" fontId="17" fillId="0" borderId="20" xfId="0" applyNumberFormat="1" applyFont="1" applyBorder="1" applyAlignment="1">
      <alignment horizontal="center"/>
    </xf>
    <xf numFmtId="170" fontId="17" fillId="0" borderId="18" xfId="0" applyNumberFormat="1" applyFont="1" applyBorder="1" applyAlignment="1">
      <alignment horizontal="center"/>
    </xf>
    <xf numFmtId="170" fontId="17" fillId="0" borderId="19" xfId="0" applyNumberFormat="1" applyFont="1" applyBorder="1" applyAlignment="1">
      <alignment horizontal="center"/>
    </xf>
    <xf numFmtId="170" fontId="17" fillId="0" borderId="42" xfId="0" applyNumberFormat="1" applyFont="1" applyBorder="1" applyAlignment="1">
      <alignment horizontal="center"/>
    </xf>
    <xf numFmtId="170" fontId="17" fillId="0" borderId="13" xfId="0" applyNumberFormat="1" applyFont="1" applyBorder="1" applyAlignment="1">
      <alignment horizontal="center"/>
    </xf>
    <xf numFmtId="170" fontId="17" fillId="0" borderId="15" xfId="0" applyNumberFormat="1" applyFont="1" applyBorder="1" applyAlignment="1">
      <alignment horizontal="center"/>
    </xf>
    <xf numFmtId="170" fontId="41" fillId="4" borderId="1" xfId="5" applyNumberFormat="1" applyFont="1" applyFill="1" applyBorder="1" applyAlignment="1">
      <alignment horizontal="center" vertical="center"/>
    </xf>
    <xf numFmtId="170" fontId="0" fillId="4" borderId="1" xfId="5" applyNumberFormat="1" applyFont="1" applyFill="1" applyBorder="1" applyAlignment="1">
      <alignment horizontal="center" vertical="center"/>
    </xf>
    <xf numFmtId="0" fontId="0" fillId="0" borderId="41" xfId="0" applyBorder="1"/>
    <xf numFmtId="170" fontId="0" fillId="4" borderId="1" xfId="5" applyNumberFormat="1" applyFont="1" applyFill="1" applyBorder="1"/>
    <xf numFmtId="170" fontId="0" fillId="4" borderId="10" xfId="5" applyNumberFormat="1" applyFont="1" applyFill="1" applyBorder="1"/>
    <xf numFmtId="0" fontId="9" fillId="3" borderId="45" xfId="2" applyFont="1" applyFill="1" applyBorder="1" applyAlignment="1">
      <alignment horizontal="center" vertical="center"/>
    </xf>
    <xf numFmtId="172" fontId="4" fillId="4" borderId="1" xfId="0" applyNumberFormat="1" applyFont="1" applyFill="1" applyBorder="1" applyAlignment="1">
      <alignment horizontal="center" vertical="center"/>
    </xf>
    <xf numFmtId="0" fontId="59" fillId="0" borderId="41" xfId="0" applyFont="1" applyBorder="1"/>
    <xf numFmtId="172" fontId="4" fillId="4" borderId="10" xfId="0" applyNumberFormat="1" applyFont="1" applyFill="1" applyBorder="1" applyAlignment="1">
      <alignment horizontal="center" vertical="center"/>
    </xf>
    <xf numFmtId="0" fontId="0" fillId="0" borderId="40" xfId="0" applyBorder="1"/>
    <xf numFmtId="170" fontId="0" fillId="4" borderId="5" xfId="5" applyNumberFormat="1" applyFont="1" applyFill="1" applyBorder="1"/>
    <xf numFmtId="170" fontId="0" fillId="4" borderId="36" xfId="5" applyNumberFormat="1" applyFont="1" applyFill="1" applyBorder="1"/>
    <xf numFmtId="0" fontId="59" fillId="0" borderId="67" xfId="0" applyFont="1" applyBorder="1"/>
    <xf numFmtId="0" fontId="4" fillId="9" borderId="20" xfId="0" applyFont="1" applyFill="1" applyBorder="1" applyAlignment="1">
      <alignment horizontal="center" vertical="center"/>
    </xf>
    <xf numFmtId="0" fontId="4" fillId="9" borderId="18" xfId="0" applyFont="1" applyFill="1" applyBorder="1" applyAlignment="1">
      <alignment horizontal="center" vertical="center"/>
    </xf>
    <xf numFmtId="0" fontId="4" fillId="9" borderId="19" xfId="0" applyFont="1" applyFill="1" applyBorder="1" applyAlignment="1">
      <alignment horizontal="center" vertical="center"/>
    </xf>
    <xf numFmtId="0" fontId="59" fillId="0" borderId="47" xfId="0" applyFont="1" applyBorder="1"/>
    <xf numFmtId="0" fontId="4" fillId="4" borderId="7" xfId="0" applyFont="1" applyFill="1" applyBorder="1" applyAlignment="1">
      <alignment horizontal="center" vertical="center"/>
    </xf>
    <xf numFmtId="0" fontId="4" fillId="4" borderId="8" xfId="0" applyFont="1" applyFill="1" applyBorder="1" applyAlignment="1">
      <alignment horizontal="center" vertical="center"/>
    </xf>
    <xf numFmtId="3" fontId="76" fillId="0" borderId="28" xfId="0" applyNumberFormat="1" applyFont="1" applyBorder="1" applyAlignment="1">
      <alignment vertical="center"/>
    </xf>
    <xf numFmtId="170" fontId="41" fillId="4" borderId="10" xfId="5" applyNumberFormat="1" applyFont="1" applyFill="1" applyBorder="1" applyAlignment="1">
      <alignment horizontal="center" vertical="center"/>
    </xf>
    <xf numFmtId="170" fontId="0" fillId="4" borderId="10" xfId="5" applyNumberFormat="1" applyFont="1" applyFill="1" applyBorder="1" applyAlignment="1">
      <alignment horizontal="center" vertical="center"/>
    </xf>
    <xf numFmtId="0" fontId="0" fillId="3" borderId="0" xfId="0" applyFill="1"/>
    <xf numFmtId="0" fontId="33" fillId="3" borderId="0" xfId="0" applyFont="1" applyFill="1"/>
    <xf numFmtId="0" fontId="59" fillId="0" borderId="68" xfId="0" applyFont="1" applyBorder="1"/>
    <xf numFmtId="0" fontId="0" fillId="0" borderId="51" xfId="0" applyBorder="1"/>
    <xf numFmtId="0" fontId="0" fillId="0" borderId="9" xfId="0" applyBorder="1"/>
    <xf numFmtId="0" fontId="9" fillId="4" borderId="7" xfId="0" applyFont="1" applyFill="1" applyBorder="1" applyAlignment="1">
      <alignment horizontal="center" vertical="center" wrapText="1"/>
    </xf>
    <xf numFmtId="0" fontId="9" fillId="4" borderId="7" xfId="2" applyFont="1" applyFill="1" applyBorder="1" applyAlignment="1">
      <alignment horizontal="center" vertical="center"/>
    </xf>
    <xf numFmtId="0" fontId="9" fillId="4" borderId="8" xfId="2" applyFont="1" applyFill="1" applyBorder="1" applyAlignment="1">
      <alignment horizontal="center" vertical="center"/>
    </xf>
    <xf numFmtId="0" fontId="59" fillId="0" borderId="46" xfId="0" applyFont="1" applyBorder="1"/>
    <xf numFmtId="0" fontId="4" fillId="0" borderId="29" xfId="0" applyFont="1" applyBorder="1" applyAlignment="1">
      <alignment horizontal="center" vertical="center"/>
    </xf>
    <xf numFmtId="0" fontId="4" fillId="0" borderId="23" xfId="0" applyFont="1" applyBorder="1" applyAlignment="1">
      <alignment horizontal="center" vertical="center"/>
    </xf>
    <xf numFmtId="0" fontId="45" fillId="3" borderId="0" xfId="0" applyFont="1" applyFill="1" applyAlignment="1">
      <alignment vertical="center" wrapText="1"/>
    </xf>
    <xf numFmtId="0" fontId="9" fillId="0" borderId="39" xfId="2" applyFont="1" applyBorder="1" applyAlignment="1">
      <alignment horizontal="center" vertical="center"/>
    </xf>
    <xf numFmtId="0" fontId="9" fillId="0" borderId="43" xfId="0" applyFont="1" applyBorder="1" applyAlignment="1">
      <alignment horizontal="center" vertical="center" wrapText="1"/>
    </xf>
    <xf numFmtId="0" fontId="9" fillId="0" borderId="43" xfId="2" applyFont="1" applyBorder="1" applyAlignment="1">
      <alignment horizontal="center" vertical="center"/>
    </xf>
    <xf numFmtId="165" fontId="9" fillId="0" borderId="24" xfId="0" applyNumberFormat="1" applyFont="1" applyBorder="1" applyAlignment="1">
      <alignment vertical="center"/>
    </xf>
    <xf numFmtId="0" fontId="10" fillId="0" borderId="46" xfId="0" applyFont="1" applyBorder="1"/>
    <xf numFmtId="0" fontId="0" fillId="0" borderId="46" xfId="0" applyBorder="1"/>
    <xf numFmtId="170" fontId="33" fillId="4" borderId="1" xfId="0" applyNumberFormat="1" applyFont="1" applyFill="1" applyBorder="1" applyAlignment="1">
      <alignment horizontal="center" vertical="center"/>
    </xf>
    <xf numFmtId="170" fontId="33" fillId="4" borderId="10" xfId="0" applyNumberFormat="1" applyFont="1" applyFill="1" applyBorder="1" applyAlignment="1">
      <alignment horizontal="center" vertical="center"/>
    </xf>
    <xf numFmtId="170" fontId="33" fillId="4" borderId="1" xfId="5" applyNumberFormat="1" applyFont="1" applyFill="1" applyBorder="1"/>
    <xf numFmtId="170" fontId="33" fillId="4" borderId="10" xfId="5" applyNumberFormat="1" applyFont="1" applyFill="1" applyBorder="1"/>
    <xf numFmtId="0" fontId="0" fillId="0" borderId="47" xfId="0" applyBorder="1"/>
    <xf numFmtId="166" fontId="0" fillId="0" borderId="7" xfId="5" applyFont="1" applyBorder="1"/>
    <xf numFmtId="170" fontId="33" fillId="0" borderId="7" xfId="0" applyNumberFormat="1" applyFont="1" applyBorder="1"/>
    <xf numFmtId="170" fontId="33" fillId="0" borderId="8" xfId="0" applyNumberFormat="1" applyFont="1" applyBorder="1"/>
    <xf numFmtId="0" fontId="0" fillId="0" borderId="42" xfId="0" applyBorder="1"/>
    <xf numFmtId="166" fontId="0" fillId="0" borderId="13" xfId="5" applyFont="1" applyBorder="1"/>
    <xf numFmtId="170" fontId="33" fillId="0" borderId="13" xfId="0" applyNumberFormat="1" applyFont="1" applyBorder="1"/>
    <xf numFmtId="170" fontId="33" fillId="0" borderId="15" xfId="0" applyNumberFormat="1" applyFont="1" applyBorder="1"/>
    <xf numFmtId="14" fontId="60" fillId="0" borderId="0" xfId="0" applyNumberFormat="1" applyFont="1"/>
    <xf numFmtId="0" fontId="43" fillId="0" borderId="0" xfId="0" applyFont="1"/>
    <xf numFmtId="165" fontId="10" fillId="0" borderId="2" xfId="0" applyNumberFormat="1" applyFont="1" applyBorder="1"/>
    <xf numFmtId="165" fontId="10" fillId="0" borderId="31" xfId="0" applyNumberFormat="1" applyFont="1" applyBorder="1"/>
    <xf numFmtId="165" fontId="17" fillId="0" borderId="1" xfId="0" applyNumberFormat="1" applyFont="1" applyBorder="1"/>
    <xf numFmtId="168" fontId="8" fillId="0" borderId="1" xfId="0" applyNumberFormat="1" applyFont="1" applyBorder="1"/>
    <xf numFmtId="168" fontId="23" fillId="0" borderId="1" xfId="0" applyNumberFormat="1" applyFont="1" applyBorder="1"/>
    <xf numFmtId="168" fontId="23" fillId="0" borderId="5" xfId="0" applyNumberFormat="1" applyFont="1" applyBorder="1" applyAlignment="1">
      <alignment vertical="center"/>
    </xf>
    <xf numFmtId="165" fontId="8" fillId="0" borderId="1" xfId="0" applyNumberFormat="1" applyFont="1" applyBorder="1" applyAlignment="1">
      <alignment vertical="center"/>
    </xf>
    <xf numFmtId="168" fontId="23" fillId="0" borderId="1" xfId="0" applyNumberFormat="1" applyFont="1" applyBorder="1" applyAlignment="1">
      <alignment vertical="center"/>
    </xf>
    <xf numFmtId="165" fontId="10" fillId="0" borderId="1" xfId="0" applyNumberFormat="1" applyFont="1" applyBorder="1" applyAlignment="1">
      <alignment vertical="center"/>
    </xf>
    <xf numFmtId="170" fontId="65" fillId="0" borderId="41" xfId="0" applyNumberFormat="1" applyFont="1" applyBorder="1" applyAlignment="1">
      <alignment horizontal="center" vertical="center" wrapText="1"/>
    </xf>
    <xf numFmtId="170" fontId="65" fillId="0" borderId="1" xfId="0" applyNumberFormat="1" applyFont="1" applyBorder="1" applyAlignment="1">
      <alignment horizontal="center" wrapText="1"/>
    </xf>
    <xf numFmtId="170" fontId="65" fillId="0" borderId="10" xfId="0" applyNumberFormat="1" applyFont="1" applyBorder="1" applyAlignment="1">
      <alignment horizontal="center" wrapText="1"/>
    </xf>
    <xf numFmtId="170" fontId="65" fillId="0" borderId="42" xfId="0" applyNumberFormat="1" applyFont="1" applyBorder="1" applyAlignment="1">
      <alignment horizontal="center" vertical="center" wrapText="1"/>
    </xf>
    <xf numFmtId="170" fontId="65" fillId="0" borderId="13" xfId="0" applyNumberFormat="1" applyFont="1" applyBorder="1" applyAlignment="1">
      <alignment horizontal="center" wrapText="1"/>
    </xf>
    <xf numFmtId="170" fontId="65" fillId="0" borderId="15" xfId="0" applyNumberFormat="1" applyFont="1" applyBorder="1" applyAlignment="1">
      <alignment horizontal="center" wrapText="1"/>
    </xf>
    <xf numFmtId="170" fontId="10" fillId="0" borderId="12" xfId="0" applyNumberFormat="1" applyFont="1" applyBorder="1" applyAlignment="1">
      <alignment horizontal="center"/>
    </xf>
    <xf numFmtId="4" fontId="18" fillId="0" borderId="5" xfId="0" applyNumberFormat="1" applyFont="1" applyBorder="1" applyAlignment="1">
      <alignment horizontal="center"/>
    </xf>
    <xf numFmtId="4" fontId="46" fillId="0" borderId="5" xfId="0" applyNumberFormat="1" applyFont="1" applyBorder="1" applyAlignment="1">
      <alignment horizontal="center" vertical="center"/>
    </xf>
    <xf numFmtId="4" fontId="46" fillId="0" borderId="36" xfId="0" applyNumberFormat="1" applyFont="1" applyBorder="1" applyAlignment="1">
      <alignment horizontal="center" vertical="center"/>
    </xf>
    <xf numFmtId="4" fontId="46" fillId="0" borderId="33" xfId="0" applyNumberFormat="1" applyFont="1" applyBorder="1" applyAlignment="1">
      <alignment horizontal="center" vertical="center"/>
    </xf>
    <xf numFmtId="4" fontId="8" fillId="0" borderId="34" xfId="0" applyNumberFormat="1" applyFont="1" applyBorder="1" applyAlignment="1">
      <alignment horizontal="center" vertical="center"/>
    </xf>
    <xf numFmtId="4" fontId="18" fillId="0" borderId="1" xfId="0" applyNumberFormat="1" applyFont="1" applyBorder="1" applyAlignment="1">
      <alignment horizontal="center" vertical="center"/>
    </xf>
    <xf numFmtId="4" fontId="46" fillId="0" borderId="1" xfId="0" applyNumberFormat="1" applyFont="1" applyBorder="1" applyAlignment="1">
      <alignment horizontal="center" vertical="center"/>
    </xf>
    <xf numFmtId="4" fontId="46" fillId="0" borderId="10" xfId="0" applyNumberFormat="1" applyFont="1" applyBorder="1" applyAlignment="1">
      <alignment horizontal="center" vertical="center"/>
    </xf>
    <xf numFmtId="4" fontId="46" fillId="0" borderId="34" xfId="0" applyNumberFormat="1" applyFont="1" applyBorder="1" applyAlignment="1">
      <alignment horizontal="center" vertical="center"/>
    </xf>
    <xf numFmtId="4" fontId="14" fillId="0" borderId="34" xfId="0" applyNumberFormat="1" applyFont="1" applyBorder="1" applyAlignment="1">
      <alignment horizontal="center" vertical="center"/>
    </xf>
    <xf numFmtId="168" fontId="46" fillId="0" borderId="7" xfId="0" applyNumberFormat="1" applyFont="1" applyBorder="1" applyAlignment="1">
      <alignment horizontal="center" vertical="center"/>
    </xf>
    <xf numFmtId="168" fontId="46" fillId="0" borderId="8" xfId="0" applyNumberFormat="1" applyFont="1" applyBorder="1" applyAlignment="1">
      <alignment horizontal="center" vertical="center"/>
    </xf>
    <xf numFmtId="168" fontId="8" fillId="0" borderId="1" xfId="0" applyNumberFormat="1" applyFont="1" applyBorder="1" applyAlignment="1">
      <alignment horizontal="center" vertical="center"/>
    </xf>
    <xf numFmtId="168" fontId="8" fillId="0" borderId="10" xfId="0" applyNumberFormat="1" applyFont="1" applyBorder="1" applyAlignment="1">
      <alignment horizontal="center" vertical="center"/>
    </xf>
    <xf numFmtId="168" fontId="8" fillId="0" borderId="23" xfId="0" applyNumberFormat="1" applyFont="1" applyBorder="1" applyAlignment="1">
      <alignment horizontal="center" vertical="center"/>
    </xf>
    <xf numFmtId="168" fontId="8" fillId="0" borderId="29" xfId="0" applyNumberFormat="1" applyFont="1" applyBorder="1" applyAlignment="1">
      <alignment horizontal="center" vertical="center"/>
    </xf>
    <xf numFmtId="168" fontId="46" fillId="0" borderId="1" xfId="0" applyNumberFormat="1" applyFont="1" applyBorder="1" applyAlignment="1">
      <alignment horizontal="center" vertical="center"/>
    </xf>
    <xf numFmtId="168" fontId="46" fillId="0" borderId="10" xfId="0" applyNumberFormat="1" applyFont="1" applyBorder="1" applyAlignment="1">
      <alignment horizontal="center" vertical="center"/>
    </xf>
    <xf numFmtId="168" fontId="14" fillId="0" borderId="1" xfId="0" applyNumberFormat="1" applyFont="1" applyBorder="1" applyAlignment="1">
      <alignment horizontal="center" vertical="center"/>
    </xf>
    <xf numFmtId="168" fontId="14" fillId="0" borderId="10" xfId="0" applyNumberFormat="1" applyFont="1" applyBorder="1" applyAlignment="1">
      <alignment horizontal="center" vertical="center"/>
    </xf>
    <xf numFmtId="0" fontId="4" fillId="5" borderId="0" xfId="0" quotePrefix="1" applyFont="1" applyFill="1"/>
    <xf numFmtId="9" fontId="0" fillId="0" borderId="0" xfId="6" applyFont="1" applyAlignment="1">
      <alignment horizontal="center"/>
    </xf>
    <xf numFmtId="0" fontId="12" fillId="3" borderId="20" xfId="0" applyFont="1" applyFill="1" applyBorder="1"/>
    <xf numFmtId="168" fontId="44" fillId="3" borderId="69" xfId="0" applyNumberFormat="1" applyFont="1" applyFill="1" applyBorder="1" applyAlignment="1">
      <alignment horizontal="center"/>
    </xf>
    <xf numFmtId="168" fontId="44" fillId="3" borderId="20" xfId="0" applyNumberFormat="1" applyFont="1" applyFill="1" applyBorder="1" applyAlignment="1">
      <alignment horizontal="center"/>
    </xf>
    <xf numFmtId="168" fontId="44" fillId="3" borderId="18" xfId="0" applyNumberFormat="1" applyFont="1" applyFill="1" applyBorder="1" applyAlignment="1">
      <alignment horizontal="center"/>
    </xf>
    <xf numFmtId="168" fontId="44" fillId="3" borderId="19" xfId="0" applyNumberFormat="1" applyFont="1" applyFill="1" applyBorder="1" applyAlignment="1">
      <alignment horizontal="center"/>
    </xf>
    <xf numFmtId="49" fontId="0" fillId="0" borderId="0" xfId="0" applyNumberFormat="1"/>
    <xf numFmtId="0" fontId="0" fillId="0" borderId="70" xfId="0" applyBorder="1"/>
    <xf numFmtId="0" fontId="78" fillId="0" borderId="57" xfId="0" applyFont="1" applyBorder="1"/>
    <xf numFmtId="0" fontId="0" fillId="0" borderId="43" xfId="0" applyBorder="1"/>
    <xf numFmtId="0" fontId="0" fillId="0" borderId="58" xfId="0" applyBorder="1"/>
    <xf numFmtId="0" fontId="0" fillId="0" borderId="35" xfId="0" applyBorder="1"/>
    <xf numFmtId="0" fontId="0" fillId="0" borderId="59" xfId="0" applyBorder="1"/>
    <xf numFmtId="0" fontId="0" fillId="0" borderId="44" xfId="0" applyBorder="1"/>
    <xf numFmtId="0" fontId="0" fillId="22" borderId="44" xfId="0" applyFill="1" applyBorder="1"/>
    <xf numFmtId="0" fontId="0" fillId="0" borderId="60" xfId="0" applyBorder="1"/>
    <xf numFmtId="0" fontId="0" fillId="0" borderId="6" xfId="0" applyBorder="1"/>
    <xf numFmtId="0" fontId="0" fillId="0" borderId="71" xfId="0" applyBorder="1"/>
    <xf numFmtId="0" fontId="60" fillId="0" borderId="17" xfId="0" applyFont="1" applyBorder="1"/>
    <xf numFmtId="0" fontId="60" fillId="0" borderId="62" xfId="0" applyFont="1" applyBorder="1"/>
    <xf numFmtId="0" fontId="0" fillId="0" borderId="39" xfId="0" applyBorder="1"/>
    <xf numFmtId="0" fontId="60" fillId="0" borderId="11" xfId="0" applyFont="1" applyBorder="1"/>
    <xf numFmtId="0" fontId="60" fillId="0" borderId="67" xfId="0" applyFont="1" applyBorder="1"/>
    <xf numFmtId="0" fontId="79" fillId="0" borderId="0" xfId="0" applyFont="1"/>
    <xf numFmtId="0" fontId="79" fillId="0" borderId="70" xfId="0" applyFont="1" applyBorder="1"/>
    <xf numFmtId="0" fontId="78" fillId="0" borderId="0" xfId="0" applyFont="1"/>
    <xf numFmtId="0" fontId="0" fillId="22" borderId="0" xfId="0" applyFill="1"/>
    <xf numFmtId="0" fontId="80" fillId="0" borderId="0" xfId="0" applyFont="1"/>
    <xf numFmtId="0" fontId="81" fillId="0" borderId="0" xfId="0" applyFont="1"/>
    <xf numFmtId="0" fontId="3" fillId="6" borderId="0" xfId="0" applyFont="1" applyFill="1"/>
    <xf numFmtId="0" fontId="82" fillId="6" borderId="0" xfId="0" applyFont="1" applyFill="1"/>
    <xf numFmtId="0" fontId="79" fillId="0" borderId="57" xfId="0" applyFont="1" applyBorder="1"/>
    <xf numFmtId="0" fontId="10" fillId="22" borderId="44" xfId="0" applyFont="1" applyFill="1" applyBorder="1"/>
    <xf numFmtId="0" fontId="0" fillId="0" borderId="43" xfId="0" applyBorder="1" applyAlignment="1">
      <alignment horizontal="right"/>
    </xf>
    <xf numFmtId="0" fontId="3" fillId="0" borderId="0" xfId="0" applyFont="1"/>
    <xf numFmtId="0" fontId="10" fillId="0" borderId="6" xfId="0" applyFont="1" applyBorder="1"/>
    <xf numFmtId="0" fontId="0" fillId="0" borderId="17" xfId="0" applyBorder="1"/>
    <xf numFmtId="0" fontId="79" fillId="0" borderId="11" xfId="0" applyFont="1" applyBorder="1"/>
    <xf numFmtId="0" fontId="0" fillId="0" borderId="67" xfId="0" applyBorder="1"/>
    <xf numFmtId="9" fontId="10" fillId="0" borderId="1" xfId="6" applyFont="1" applyBorder="1"/>
    <xf numFmtId="0" fontId="17" fillId="0" borderId="1" xfId="0" applyFont="1" applyBorder="1"/>
    <xf numFmtId="0" fontId="17" fillId="21" borderId="1" xfId="0" applyFont="1" applyFill="1" applyBorder="1"/>
    <xf numFmtId="0" fontId="17" fillId="21" borderId="1" xfId="0" applyFont="1" applyFill="1" applyBorder="1" applyAlignment="1">
      <alignment horizontal="center"/>
    </xf>
    <xf numFmtId="9" fontId="17" fillId="0" borderId="1" xfId="6" applyFont="1" applyBorder="1"/>
    <xf numFmtId="0" fontId="0" fillId="6" borderId="0" xfId="0" applyFill="1"/>
    <xf numFmtId="0" fontId="8" fillId="15" borderId="1" xfId="0" quotePrefix="1" applyFont="1" applyFill="1" applyBorder="1" applyAlignment="1">
      <alignment vertical="center" wrapText="1"/>
    </xf>
    <xf numFmtId="0" fontId="83" fillId="0" borderId="0" xfId="0" applyFont="1" applyAlignment="1">
      <alignment vertical="center"/>
    </xf>
    <xf numFmtId="166" fontId="0" fillId="0" borderId="0" xfId="0" applyNumberFormat="1"/>
    <xf numFmtId="166" fontId="0" fillId="0" borderId="0" xfId="5" applyFont="1"/>
    <xf numFmtId="170" fontId="0" fillId="0" borderId="0" xfId="5" applyNumberFormat="1" applyFont="1"/>
    <xf numFmtId="170" fontId="0" fillId="0" borderId="0" xfId="0" applyNumberFormat="1"/>
    <xf numFmtId="170" fontId="0" fillId="6" borderId="0" xfId="5" applyNumberFormat="1" applyFont="1" applyFill="1"/>
    <xf numFmtId="170" fontId="4" fillId="0" borderId="0" xfId="0" applyNumberFormat="1" applyFont="1"/>
    <xf numFmtId="165" fontId="4" fillId="0" borderId="0" xfId="0" applyNumberFormat="1" applyFont="1"/>
    <xf numFmtId="0" fontId="4" fillId="21" borderId="0" xfId="0" applyFont="1" applyFill="1"/>
    <xf numFmtId="0" fontId="4" fillId="23" borderId="0" xfId="0" applyFont="1" applyFill="1"/>
    <xf numFmtId="166" fontId="4" fillId="0" borderId="0" xfId="0" applyNumberFormat="1" applyFont="1"/>
    <xf numFmtId="166" fontId="4" fillId="0" borderId="0" xfId="5" applyFont="1"/>
    <xf numFmtId="170" fontId="10" fillId="0" borderId="1" xfId="5" applyNumberFormat="1" applyFont="1" applyBorder="1"/>
    <xf numFmtId="170" fontId="10" fillId="0" borderId="1" xfId="5" quotePrefix="1" applyNumberFormat="1" applyFont="1" applyBorder="1" applyAlignment="1">
      <alignment horizontal="center"/>
    </xf>
    <xf numFmtId="170" fontId="17" fillId="0" borderId="1" xfId="5" applyNumberFormat="1" applyFont="1" applyBorder="1"/>
    <xf numFmtId="0" fontId="4" fillId="0" borderId="72" xfId="0" applyFont="1" applyBorder="1" applyAlignment="1">
      <alignment horizontal="center" vertical="center"/>
    </xf>
    <xf numFmtId="0" fontId="0" fillId="0" borderId="72" xfId="0" applyBorder="1" applyAlignment="1">
      <alignment vertical="center"/>
    </xf>
    <xf numFmtId="4" fontId="0" fillId="0" borderId="72" xfId="0" applyNumberFormat="1" applyBorder="1" applyAlignment="1">
      <alignment vertical="center"/>
    </xf>
    <xf numFmtId="0" fontId="84" fillId="24" borderId="72" xfId="0" applyFont="1" applyFill="1" applyBorder="1" applyAlignment="1">
      <alignment vertical="center"/>
    </xf>
    <xf numFmtId="3" fontId="84" fillId="24" borderId="72" xfId="0" applyNumberFormat="1" applyFont="1" applyFill="1" applyBorder="1" applyAlignment="1">
      <alignment vertical="center"/>
    </xf>
    <xf numFmtId="4" fontId="84" fillId="24" borderId="72" xfId="0" applyNumberFormat="1" applyFont="1" applyFill="1" applyBorder="1" applyAlignment="1">
      <alignment vertical="center"/>
    </xf>
    <xf numFmtId="3" fontId="0" fillId="0" borderId="72" xfId="0" applyNumberFormat="1" applyBorder="1" applyAlignment="1">
      <alignment vertical="center"/>
    </xf>
    <xf numFmtId="0" fontId="4" fillId="6" borderId="72" xfId="0" applyFont="1" applyFill="1" applyBorder="1" applyAlignment="1">
      <alignment horizontal="center" vertical="center"/>
    </xf>
    <xf numFmtId="4" fontId="0" fillId="6" borderId="72" xfId="0" applyNumberFormat="1" applyFill="1" applyBorder="1" applyAlignment="1">
      <alignment vertical="center"/>
    </xf>
    <xf numFmtId="9" fontId="60" fillId="0" borderId="0" xfId="0" applyNumberFormat="1" applyFont="1"/>
    <xf numFmtId="170" fontId="85" fillId="0" borderId="0" xfId="0" applyNumberFormat="1" applyFont="1"/>
    <xf numFmtId="0" fontId="0" fillId="0" borderId="0" xfId="0" quotePrefix="1"/>
    <xf numFmtId="0" fontId="74" fillId="0" borderId="0" xfId="0" applyFont="1"/>
    <xf numFmtId="170" fontId="86" fillId="0" borderId="0" xfId="0" applyNumberFormat="1" applyFont="1"/>
    <xf numFmtId="170" fontId="54" fillId="0" borderId="0" xfId="0" applyNumberFormat="1" applyFont="1"/>
    <xf numFmtId="170" fontId="54" fillId="0" borderId="0" xfId="5" applyNumberFormat="1" applyFont="1"/>
    <xf numFmtId="166" fontId="54" fillId="0" borderId="0" xfId="0" applyNumberFormat="1" applyFont="1"/>
    <xf numFmtId="166" fontId="54" fillId="0" borderId="0" xfId="5" applyFont="1"/>
    <xf numFmtId="0" fontId="86" fillId="0" borderId="0" xfId="0" applyFont="1"/>
    <xf numFmtId="0" fontId="8" fillId="2" borderId="1" xfId="0" applyFont="1" applyFill="1" applyBorder="1" applyAlignment="1">
      <alignment vertical="center" wrapText="1"/>
    </xf>
    <xf numFmtId="172" fontId="10" fillId="4" borderId="0" xfId="0" applyNumberFormat="1" applyFont="1" applyFill="1" applyAlignment="1">
      <alignment horizontal="center" vertical="center" wrapText="1"/>
    </xf>
    <xf numFmtId="168" fontId="10" fillId="4" borderId="0" xfId="0" applyNumberFormat="1" applyFont="1" applyFill="1"/>
    <xf numFmtId="0" fontId="4" fillId="3" borderId="0" xfId="0" applyFont="1" applyFill="1" applyAlignment="1">
      <alignment horizontal="center"/>
    </xf>
    <xf numFmtId="0" fontId="0" fillId="3" borderId="0" xfId="0" applyFill="1" applyAlignment="1">
      <alignment horizontal="center"/>
    </xf>
    <xf numFmtId="0" fontId="87" fillId="0" borderId="0" xfId="0" applyFont="1"/>
    <xf numFmtId="0" fontId="87" fillId="25" borderId="0" xfId="0" applyFont="1" applyFill="1" applyAlignment="1">
      <alignment horizontal="center" vertical="center"/>
    </xf>
    <xf numFmtId="0" fontId="87" fillId="0" borderId="0" xfId="0" applyFont="1" applyAlignment="1">
      <alignment horizontal="left" vertical="center"/>
    </xf>
    <xf numFmtId="0" fontId="87" fillId="0" borderId="0" xfId="0" applyFont="1" applyAlignment="1">
      <alignment horizontal="center" vertical="center"/>
    </xf>
    <xf numFmtId="0" fontId="88" fillId="0" borderId="57" xfId="0" applyFont="1" applyBorder="1"/>
    <xf numFmtId="0" fontId="87" fillId="0" borderId="43" xfId="0" applyFont="1" applyBorder="1"/>
    <xf numFmtId="0" fontId="87" fillId="0" borderId="58" xfId="0" applyFont="1" applyBorder="1"/>
    <xf numFmtId="0" fontId="87" fillId="0" borderId="3" xfId="0" applyFont="1" applyBorder="1" applyAlignment="1">
      <alignment vertical="center"/>
    </xf>
    <xf numFmtId="0" fontId="89" fillId="0" borderId="0" xfId="0" applyFont="1" applyAlignment="1">
      <alignment horizontal="center" vertical="center"/>
    </xf>
    <xf numFmtId="0" fontId="90" fillId="0" borderId="0" xfId="0" applyFont="1" applyAlignment="1">
      <alignment horizontal="center" vertical="center" wrapText="1"/>
    </xf>
    <xf numFmtId="0" fontId="87" fillId="0" borderId="59" xfId="0" applyFont="1" applyBorder="1"/>
    <xf numFmtId="0" fontId="87" fillId="0" borderId="44" xfId="0" applyFont="1" applyBorder="1"/>
    <xf numFmtId="0" fontId="92" fillId="0" borderId="44" xfId="0" applyFont="1" applyBorder="1"/>
    <xf numFmtId="0" fontId="87" fillId="22" borderId="44" xfId="0" applyFont="1" applyFill="1" applyBorder="1" applyAlignment="1">
      <alignment vertical="center"/>
    </xf>
    <xf numFmtId="0" fontId="92" fillId="22" borderId="44" xfId="0" applyFont="1" applyFill="1" applyBorder="1" applyAlignment="1">
      <alignment horizontal="center" vertical="center"/>
    </xf>
    <xf numFmtId="0" fontId="87" fillId="0" borderId="44" xfId="0" applyFont="1" applyBorder="1" applyAlignment="1">
      <alignment horizontal="center" vertical="center"/>
    </xf>
    <xf numFmtId="0" fontId="87" fillId="0" borderId="60" xfId="0" applyFont="1" applyBorder="1" applyAlignment="1">
      <alignment horizontal="center" vertical="center"/>
    </xf>
    <xf numFmtId="0" fontId="92" fillId="0" borderId="0" xfId="0" applyFont="1"/>
    <xf numFmtId="0" fontId="87" fillId="0" borderId="0" xfId="0" applyFont="1" applyAlignment="1">
      <alignment vertical="center"/>
    </xf>
    <xf numFmtId="0" fontId="92" fillId="0" borderId="0" xfId="0" applyFont="1" applyAlignment="1">
      <alignment horizontal="center" vertical="center"/>
    </xf>
    <xf numFmtId="0" fontId="87" fillId="27" borderId="1" xfId="0" applyFont="1" applyFill="1" applyBorder="1" applyAlignment="1">
      <alignment horizontal="center" vertical="center"/>
    </xf>
    <xf numFmtId="0" fontId="87" fillId="0" borderId="1" xfId="0" applyFont="1" applyBorder="1" applyAlignment="1">
      <alignment horizontal="center" vertical="center"/>
    </xf>
    <xf numFmtId="0" fontId="97" fillId="0" borderId="35" xfId="0" applyFont="1" applyBorder="1"/>
    <xf numFmtId="0" fontId="97" fillId="6" borderId="35" xfId="0" applyFont="1" applyFill="1" applyBorder="1"/>
    <xf numFmtId="3" fontId="82" fillId="0" borderId="28" xfId="0" applyNumberFormat="1" applyFont="1" applyBorder="1" applyAlignment="1">
      <alignment vertical="center"/>
    </xf>
    <xf numFmtId="0" fontId="10" fillId="0" borderId="0" xfId="9">
      <alignment horizontal="right"/>
    </xf>
    <xf numFmtId="0" fontId="98" fillId="0" borderId="73" xfId="10" applyFill="1">
      <alignment horizontal="left"/>
    </xf>
    <xf numFmtId="0" fontId="98" fillId="0" borderId="73" xfId="10">
      <alignment horizontal="left"/>
    </xf>
    <xf numFmtId="166" fontId="0" fillId="0" borderId="76" xfId="13" applyFont="1" applyBorder="1" applyAlignment="1">
      <alignment horizontal="right"/>
    </xf>
    <xf numFmtId="10" fontId="0" fillId="0" borderId="76" xfId="14" applyFont="1" applyBorder="1" applyAlignment="1">
      <alignment horizontal="right"/>
    </xf>
    <xf numFmtId="1" fontId="0" fillId="0" borderId="76" xfId="15" applyFont="1" applyBorder="1">
      <alignment horizontal="right"/>
    </xf>
    <xf numFmtId="14" fontId="0" fillId="0" borderId="76" xfId="16" applyFont="1" applyBorder="1">
      <alignment horizontal="right"/>
    </xf>
    <xf numFmtId="0" fontId="0" fillId="0" borderId="0" xfId="12" applyFont="1">
      <alignment horizontal="left" indent="5"/>
    </xf>
    <xf numFmtId="166" fontId="0" fillId="4" borderId="78" xfId="13" applyFont="1" applyFill="1" applyBorder="1" applyAlignment="1">
      <alignment horizontal="right"/>
    </xf>
    <xf numFmtId="1" fontId="0" fillId="4" borderId="78" xfId="15" applyFont="1" applyFill="1" applyBorder="1">
      <alignment horizontal="right"/>
    </xf>
    <xf numFmtId="175" fontId="10" fillId="0" borderId="0" xfId="8" applyNumberFormat="1" applyFont="1" applyAlignment="1">
      <alignment horizontal="right"/>
    </xf>
    <xf numFmtId="0" fontId="0" fillId="0" borderId="0" xfId="17" applyFont="1">
      <alignment horizontal="center" wrapText="1"/>
    </xf>
    <xf numFmtId="0" fontId="10" fillId="0" borderId="6" xfId="9" applyBorder="1">
      <alignment horizontal="right"/>
    </xf>
    <xf numFmtId="1" fontId="0" fillId="0" borderId="79" xfId="15" applyFont="1" applyBorder="1">
      <alignment horizontal="right"/>
    </xf>
    <xf numFmtId="14" fontId="0" fillId="0" borderId="79" xfId="16" applyFont="1" applyBorder="1">
      <alignment horizontal="right"/>
    </xf>
    <xf numFmtId="166" fontId="0" fillId="0" borderId="79" xfId="13" applyFont="1" applyBorder="1" applyAlignment="1">
      <alignment horizontal="right"/>
    </xf>
    <xf numFmtId="166" fontId="0" fillId="0" borderId="71" xfId="13" applyFont="1" applyBorder="1" applyAlignment="1">
      <alignment horizontal="right"/>
    </xf>
    <xf numFmtId="0" fontId="10" fillId="0" borderId="9" xfId="9" applyBorder="1">
      <alignment horizontal="right"/>
    </xf>
    <xf numFmtId="1" fontId="0" fillId="0" borderId="0" xfId="15" applyFont="1" applyBorder="1">
      <alignment horizontal="right"/>
    </xf>
    <xf numFmtId="14" fontId="0" fillId="0" borderId="0" xfId="16" applyFont="1" applyBorder="1">
      <alignment horizontal="right"/>
    </xf>
    <xf numFmtId="166" fontId="0" fillId="0" borderId="0" xfId="13" applyFont="1" applyBorder="1" applyAlignment="1">
      <alignment horizontal="right"/>
    </xf>
    <xf numFmtId="166" fontId="0" fillId="0" borderId="39" xfId="13" applyFont="1" applyBorder="1" applyAlignment="1">
      <alignment horizontal="right"/>
    </xf>
    <xf numFmtId="0" fontId="10" fillId="0" borderId="11" xfId="9" applyBorder="1">
      <alignment horizontal="right"/>
    </xf>
    <xf numFmtId="1" fontId="0" fillId="0" borderId="12" xfId="15" applyFont="1" applyBorder="1">
      <alignment horizontal="right"/>
    </xf>
    <xf numFmtId="14" fontId="0" fillId="0" borderId="12" xfId="16" applyFont="1" applyBorder="1">
      <alignment horizontal="right"/>
    </xf>
    <xf numFmtId="166" fontId="0" fillId="0" borderId="12" xfId="13" applyFont="1" applyBorder="1" applyAlignment="1">
      <alignment horizontal="right"/>
    </xf>
    <xf numFmtId="166" fontId="0" fillId="0" borderId="67" xfId="13" applyFont="1" applyBorder="1" applyAlignment="1">
      <alignment horizontal="right"/>
    </xf>
    <xf numFmtId="166" fontId="10" fillId="0" borderId="0" xfId="9" applyNumberFormat="1">
      <alignment horizontal="right"/>
    </xf>
    <xf numFmtId="1" fontId="0" fillId="0" borderId="0" xfId="15" applyFont="1">
      <alignment horizontal="right"/>
    </xf>
    <xf numFmtId="14" fontId="0" fillId="0" borderId="0" xfId="16" applyFont="1">
      <alignment horizontal="right"/>
    </xf>
    <xf numFmtId="166" fontId="0" fillId="0" borderId="0" xfId="13" applyFont="1" applyAlignment="1">
      <alignment horizontal="right"/>
    </xf>
    <xf numFmtId="0" fontId="10" fillId="0" borderId="0" xfId="9" applyAlignment="1">
      <alignment horizontal="left"/>
    </xf>
    <xf numFmtId="0" fontId="4" fillId="0" borderId="80" xfId="0" applyFont="1" applyBorder="1" applyAlignment="1">
      <alignment horizontal="center" vertical="center"/>
    </xf>
    <xf numFmtId="0" fontId="0" fillId="15" borderId="0" xfId="0" applyFill="1"/>
    <xf numFmtId="176" fontId="0" fillId="0" borderId="0" xfId="8" applyNumberFormat="1" applyFont="1" applyAlignment="1"/>
    <xf numFmtId="177" fontId="0" fillId="0" borderId="0" xfId="8" applyNumberFormat="1" applyFont="1" applyAlignment="1"/>
    <xf numFmtId="0" fontId="86" fillId="0" borderId="1" xfId="0" applyFont="1" applyBorder="1" applyAlignment="1">
      <alignment horizontal="right"/>
    </xf>
    <xf numFmtId="9" fontId="0" fillId="0" borderId="0" xfId="6" applyFont="1" applyFill="1" applyBorder="1"/>
    <xf numFmtId="9" fontId="0" fillId="5" borderId="0" xfId="6" applyFont="1" applyFill="1" applyBorder="1"/>
    <xf numFmtId="170" fontId="0" fillId="5" borderId="0" xfId="5" applyNumberFormat="1" applyFont="1" applyFill="1" applyBorder="1"/>
    <xf numFmtId="170" fontId="0" fillId="5" borderId="0" xfId="6" applyNumberFormat="1" applyFont="1" applyFill="1" applyBorder="1"/>
    <xf numFmtId="0" fontId="87" fillId="6" borderId="44" xfId="0" applyFont="1" applyFill="1" applyBorder="1" applyAlignment="1">
      <alignment horizontal="center" vertical="center"/>
    </xf>
    <xf numFmtId="0" fontId="0" fillId="0" borderId="57" xfId="0" applyBorder="1"/>
    <xf numFmtId="0" fontId="99" fillId="0" borderId="0" xfId="0" applyFont="1"/>
    <xf numFmtId="170" fontId="87" fillId="0" borderId="0" xfId="5" applyNumberFormat="1" applyFont="1"/>
    <xf numFmtId="170" fontId="87" fillId="0" borderId="0" xfId="5" applyNumberFormat="1" applyFont="1" applyFill="1" applyAlignment="1">
      <alignment horizontal="center" vertical="center"/>
    </xf>
    <xf numFmtId="170" fontId="93" fillId="0" borderId="0" xfId="5" applyNumberFormat="1" applyFont="1" applyAlignment="1">
      <alignment horizontal="center" vertical="center"/>
    </xf>
    <xf numFmtId="170" fontId="10" fillId="0" borderId="0" xfId="0" applyNumberFormat="1" applyFont="1"/>
    <xf numFmtId="170" fontId="87" fillId="6" borderId="0" xfId="5" applyNumberFormat="1" applyFont="1" applyFill="1"/>
    <xf numFmtId="170" fontId="93" fillId="0" borderId="1" xfId="0" applyNumberFormat="1" applyFont="1" applyBorder="1" applyAlignment="1">
      <alignment horizontal="center" vertical="center"/>
    </xf>
    <xf numFmtId="170" fontId="87" fillId="23" borderId="0" xfId="5" applyNumberFormat="1" applyFont="1" applyFill="1"/>
    <xf numFmtId="170" fontId="93" fillId="6" borderId="1" xfId="0" applyNumberFormat="1" applyFont="1" applyFill="1" applyBorder="1" applyAlignment="1">
      <alignment horizontal="center" vertical="center"/>
    </xf>
    <xf numFmtId="170" fontId="0" fillId="5" borderId="0" xfId="5" quotePrefix="1" applyNumberFormat="1" applyFont="1" applyFill="1" applyBorder="1"/>
    <xf numFmtId="0" fontId="4" fillId="5" borderId="0" xfId="0" applyFont="1" applyFill="1"/>
    <xf numFmtId="170" fontId="4" fillId="5" borderId="0" xfId="5" applyNumberFormat="1" applyFont="1" applyFill="1" applyBorder="1"/>
    <xf numFmtId="168" fontId="0" fillId="0" borderId="1" xfId="0" quotePrefix="1" applyNumberFormat="1" applyBorder="1"/>
    <xf numFmtId="0" fontId="0" fillId="0" borderId="1" xfId="0" applyBorder="1" applyAlignment="1">
      <alignment horizontal="left"/>
    </xf>
    <xf numFmtId="170" fontId="87" fillId="0" borderId="0" xfId="0" applyNumberFormat="1" applyFont="1"/>
    <xf numFmtId="0" fontId="45" fillId="9" borderId="0" xfId="0" applyFont="1" applyFill="1" applyAlignment="1">
      <alignment horizontal="center" vertical="center" wrapText="1"/>
    </xf>
    <xf numFmtId="14" fontId="0" fillId="4" borderId="0" xfId="0" applyNumberFormat="1" applyFill="1" applyAlignment="1">
      <alignment horizontal="center"/>
    </xf>
    <xf numFmtId="0" fontId="45" fillId="9" borderId="0" xfId="0" applyFont="1" applyFill="1" applyAlignment="1">
      <alignment horizontal="right" vertical="center" wrapText="1"/>
    </xf>
    <xf numFmtId="0" fontId="77" fillId="9" borderId="0" xfId="0" applyFont="1" applyFill="1" applyAlignment="1">
      <alignment horizontal="left" vertical="center" wrapText="1"/>
    </xf>
    <xf numFmtId="0" fontId="4" fillId="0" borderId="1" xfId="0" applyFont="1" applyBorder="1" applyAlignment="1">
      <alignment horizontal="left" vertical="top"/>
    </xf>
    <xf numFmtId="0" fontId="4" fillId="0" borderId="1" xfId="0" applyFont="1" applyBorder="1" applyAlignment="1">
      <alignment horizontal="center"/>
    </xf>
    <xf numFmtId="0" fontId="0" fillId="0" borderId="1" xfId="0" applyBorder="1" applyAlignment="1">
      <alignment horizontal="left" vertical="center"/>
    </xf>
    <xf numFmtId="0" fontId="4" fillId="0" borderId="1" xfId="0" applyFont="1" applyBorder="1" applyAlignment="1">
      <alignment horizontal="left" vertical="center" wrapText="1"/>
    </xf>
    <xf numFmtId="0" fontId="0" fillId="0" borderId="57" xfId="0" quotePrefix="1" applyBorder="1" applyAlignment="1">
      <alignment horizontal="left" vertical="top" wrapText="1"/>
    </xf>
    <xf numFmtId="0" fontId="0" fillId="0" borderId="43" xfId="0" applyBorder="1" applyAlignment="1">
      <alignment horizontal="left" vertical="top" wrapText="1"/>
    </xf>
    <xf numFmtId="0" fontId="0" fillId="0" borderId="58" xfId="0" applyBorder="1" applyAlignment="1">
      <alignment horizontal="left" vertical="top" wrapText="1"/>
    </xf>
    <xf numFmtId="0" fontId="0" fillId="0" borderId="3" xfId="0" applyBorder="1" applyAlignment="1">
      <alignment horizontal="left" vertical="top" wrapText="1"/>
    </xf>
    <xf numFmtId="0" fontId="0" fillId="0" borderId="0" xfId="0" applyAlignment="1">
      <alignment horizontal="left" vertical="top" wrapText="1"/>
    </xf>
    <xf numFmtId="0" fontId="0" fillId="0" borderId="35" xfId="0" applyBorder="1" applyAlignment="1">
      <alignment horizontal="left" vertical="top" wrapText="1"/>
    </xf>
    <xf numFmtId="0" fontId="0" fillId="0" borderId="59" xfId="0" applyBorder="1" applyAlignment="1">
      <alignment horizontal="left" vertical="top" wrapText="1"/>
    </xf>
    <xf numFmtId="0" fontId="0" fillId="0" borderId="44" xfId="0" applyBorder="1" applyAlignment="1">
      <alignment horizontal="left" vertical="top" wrapText="1"/>
    </xf>
    <xf numFmtId="0" fontId="0" fillId="0" borderId="60" xfId="0" applyBorder="1" applyAlignment="1">
      <alignment horizontal="left" vertical="top" wrapText="1"/>
    </xf>
    <xf numFmtId="49" fontId="4" fillId="0" borderId="4" xfId="0" applyNumberFormat="1" applyFont="1" applyBorder="1" applyAlignment="1">
      <alignment horizontal="left"/>
    </xf>
    <xf numFmtId="49" fontId="4" fillId="0" borderId="23" xfId="0" applyNumberFormat="1" applyFont="1" applyBorder="1" applyAlignment="1">
      <alignment horizontal="left"/>
    </xf>
    <xf numFmtId="49" fontId="4" fillId="0" borderId="24" xfId="0" applyNumberFormat="1" applyFont="1" applyBorder="1" applyAlignment="1">
      <alignment horizontal="left"/>
    </xf>
    <xf numFmtId="0" fontId="4" fillId="0" borderId="4" xfId="0" applyFont="1" applyBorder="1" applyAlignment="1">
      <alignment horizontal="left"/>
    </xf>
    <xf numFmtId="0" fontId="4" fillId="0" borderId="23" xfId="0" applyFont="1" applyBorder="1" applyAlignment="1">
      <alignment horizontal="left"/>
    </xf>
    <xf numFmtId="0" fontId="4" fillId="0" borderId="24" xfId="0" applyFont="1" applyBorder="1" applyAlignment="1">
      <alignment horizontal="left"/>
    </xf>
    <xf numFmtId="49" fontId="0" fillId="0" borderId="57" xfId="0" quotePrefix="1" applyNumberFormat="1" applyBorder="1" applyAlignment="1">
      <alignment horizontal="left" vertical="top" wrapText="1"/>
    </xf>
    <xf numFmtId="49" fontId="0" fillId="0" borderId="43" xfId="0" applyNumberFormat="1" applyBorder="1" applyAlignment="1">
      <alignment horizontal="left" vertical="top" wrapText="1"/>
    </xf>
    <xf numFmtId="49" fontId="0" fillId="0" borderId="58" xfId="0" applyNumberFormat="1" applyBorder="1" applyAlignment="1">
      <alignment horizontal="left" vertical="top" wrapText="1"/>
    </xf>
    <xf numFmtId="49" fontId="0" fillId="0" borderId="3" xfId="0" applyNumberFormat="1" applyBorder="1" applyAlignment="1">
      <alignment horizontal="left" vertical="top" wrapText="1"/>
    </xf>
    <xf numFmtId="49" fontId="0" fillId="0" borderId="0" xfId="0" applyNumberFormat="1" applyAlignment="1">
      <alignment horizontal="left" vertical="top" wrapText="1"/>
    </xf>
    <xf numFmtId="49" fontId="0" fillId="0" borderId="35" xfId="0" applyNumberFormat="1" applyBorder="1" applyAlignment="1">
      <alignment horizontal="left" vertical="top" wrapText="1"/>
    </xf>
    <xf numFmtId="49" fontId="0" fillId="0" borderId="59" xfId="0" applyNumberFormat="1" applyBorder="1" applyAlignment="1">
      <alignment horizontal="left" vertical="top" wrapText="1"/>
    </xf>
    <xf numFmtId="49" fontId="0" fillId="0" borderId="44" xfId="0" applyNumberFormat="1" applyBorder="1" applyAlignment="1">
      <alignment horizontal="left" vertical="top" wrapText="1"/>
    </xf>
    <xf numFmtId="49" fontId="0" fillId="0" borderId="60" xfId="0" applyNumberFormat="1" applyBorder="1" applyAlignment="1">
      <alignment horizontal="left" vertical="top" wrapText="1"/>
    </xf>
    <xf numFmtId="0" fontId="0" fillId="2" borderId="0" xfId="0" applyFill="1" applyAlignment="1">
      <alignment horizontal="center"/>
    </xf>
    <xf numFmtId="0" fontId="45" fillId="13" borderId="0" xfId="0" applyFont="1" applyFill="1" applyAlignment="1">
      <alignment horizontal="center" vertical="center" wrapText="1"/>
    </xf>
    <xf numFmtId="14" fontId="0" fillId="5" borderId="0" xfId="0" applyNumberFormat="1" applyFill="1" applyAlignment="1">
      <alignment horizontal="center"/>
    </xf>
    <xf numFmtId="0" fontId="45" fillId="13" borderId="0" xfId="0" applyFont="1" applyFill="1" applyAlignment="1">
      <alignment horizontal="right" vertical="center" wrapText="1"/>
    </xf>
    <xf numFmtId="0" fontId="45" fillId="13" borderId="0" xfId="0" applyFont="1" applyFill="1" applyAlignment="1">
      <alignment horizontal="left" vertical="center" wrapText="1"/>
    </xf>
    <xf numFmtId="0" fontId="54" fillId="5" borderId="0" xfId="0" applyFont="1" applyFill="1" applyAlignment="1">
      <alignment horizontal="left"/>
    </xf>
    <xf numFmtId="0" fontId="4" fillId="5" borderId="0" xfId="0" quotePrefix="1" applyFont="1" applyFill="1" applyAlignment="1">
      <alignment horizontal="left"/>
    </xf>
    <xf numFmtId="0" fontId="4" fillId="5" borderId="0" xfId="0" applyFont="1" applyFill="1" applyAlignment="1">
      <alignment horizontal="left"/>
    </xf>
    <xf numFmtId="0" fontId="0" fillId="5" borderId="57" xfId="0" quotePrefix="1" applyFill="1" applyBorder="1" applyAlignment="1">
      <alignment horizontal="left" vertical="top" wrapText="1"/>
    </xf>
    <xf numFmtId="0" fontId="0" fillId="5" borderId="43" xfId="0" applyFill="1" applyBorder="1" applyAlignment="1">
      <alignment horizontal="left" vertical="top" wrapText="1"/>
    </xf>
    <xf numFmtId="0" fontId="0" fillId="5" borderId="58" xfId="0" applyFill="1" applyBorder="1" applyAlignment="1">
      <alignment horizontal="left" vertical="top" wrapText="1"/>
    </xf>
    <xf numFmtId="0" fontId="0" fillId="5" borderId="3" xfId="0" applyFill="1" applyBorder="1" applyAlignment="1">
      <alignment horizontal="left" vertical="top" wrapText="1"/>
    </xf>
    <xf numFmtId="0" fontId="0" fillId="5" borderId="0" xfId="0" applyFill="1" applyAlignment="1">
      <alignment horizontal="left" vertical="top" wrapText="1"/>
    </xf>
    <xf numFmtId="0" fontId="0" fillId="5" borderId="35" xfId="0" applyFill="1" applyBorder="1" applyAlignment="1">
      <alignment horizontal="left" vertical="top" wrapText="1"/>
    </xf>
    <xf numFmtId="0" fontId="0" fillId="5" borderId="59" xfId="0" applyFill="1" applyBorder="1" applyAlignment="1">
      <alignment horizontal="left" vertical="top" wrapText="1"/>
    </xf>
    <xf numFmtId="0" fontId="0" fillId="5" borderId="44" xfId="0" applyFill="1" applyBorder="1" applyAlignment="1">
      <alignment horizontal="left" vertical="top" wrapText="1"/>
    </xf>
    <xf numFmtId="0" fontId="0" fillId="5" borderId="60" xfId="0" applyFill="1" applyBorder="1" applyAlignment="1">
      <alignment horizontal="left" vertical="top" wrapText="1"/>
    </xf>
    <xf numFmtId="0" fontId="0" fillId="5" borderId="43" xfId="0" quotePrefix="1" applyFill="1" applyBorder="1" applyAlignment="1">
      <alignment horizontal="left" vertical="top" wrapText="1"/>
    </xf>
    <xf numFmtId="0" fontId="0" fillId="5" borderId="58" xfId="0" quotePrefix="1" applyFill="1" applyBorder="1" applyAlignment="1">
      <alignment horizontal="left" vertical="top" wrapText="1"/>
    </xf>
    <xf numFmtId="0" fontId="0" fillId="5" borderId="3" xfId="0" quotePrefix="1" applyFill="1" applyBorder="1" applyAlignment="1">
      <alignment horizontal="left" vertical="top" wrapText="1"/>
    </xf>
    <xf numFmtId="0" fontId="0" fillId="5" borderId="0" xfId="0" quotePrefix="1" applyFill="1" applyAlignment="1">
      <alignment horizontal="left" vertical="top" wrapText="1"/>
    </xf>
    <xf numFmtId="0" fontId="0" fillId="5" borderId="35" xfId="0" quotePrefix="1" applyFill="1" applyBorder="1" applyAlignment="1">
      <alignment horizontal="left" vertical="top" wrapText="1"/>
    </xf>
    <xf numFmtId="0" fontId="0" fillId="5" borderId="59" xfId="0" quotePrefix="1" applyFill="1" applyBorder="1" applyAlignment="1">
      <alignment horizontal="left" vertical="top" wrapText="1"/>
    </xf>
    <xf numFmtId="0" fontId="0" fillId="5" borderId="44" xfId="0" quotePrefix="1" applyFill="1" applyBorder="1" applyAlignment="1">
      <alignment horizontal="left" vertical="top" wrapText="1"/>
    </xf>
    <xf numFmtId="0" fontId="0" fillId="5" borderId="60" xfId="0" quotePrefix="1" applyFill="1" applyBorder="1" applyAlignment="1">
      <alignment horizontal="left" vertical="top" wrapText="1"/>
    </xf>
    <xf numFmtId="0" fontId="4" fillId="6" borderId="57" xfId="0" quotePrefix="1" applyFont="1" applyFill="1" applyBorder="1" applyAlignment="1">
      <alignment horizontal="left" vertical="top" wrapText="1"/>
    </xf>
    <xf numFmtId="0" fontId="4" fillId="6" borderId="43" xfId="0" quotePrefix="1" applyFont="1" applyFill="1" applyBorder="1" applyAlignment="1">
      <alignment horizontal="left" vertical="top" wrapText="1"/>
    </xf>
    <xf numFmtId="0" fontId="4" fillId="6" borderId="58" xfId="0" quotePrefix="1" applyFont="1" applyFill="1" applyBorder="1" applyAlignment="1">
      <alignment horizontal="left" vertical="top" wrapText="1"/>
    </xf>
    <xf numFmtId="0" fontId="4" fillId="6" borderId="3" xfId="0" quotePrefix="1" applyFont="1" applyFill="1" applyBorder="1" applyAlignment="1">
      <alignment horizontal="left" vertical="top" wrapText="1"/>
    </xf>
    <xf numFmtId="0" fontId="4" fillId="6" borderId="0" xfId="0" quotePrefix="1" applyFont="1" applyFill="1" applyAlignment="1">
      <alignment horizontal="left" vertical="top" wrapText="1"/>
    </xf>
    <xf numFmtId="0" fontId="4" fillId="6" borderId="35" xfId="0" quotePrefix="1" applyFont="1" applyFill="1" applyBorder="1" applyAlignment="1">
      <alignment horizontal="left" vertical="top" wrapText="1"/>
    </xf>
    <xf numFmtId="0" fontId="4" fillId="6" borderId="59" xfId="0" quotePrefix="1" applyFont="1" applyFill="1" applyBorder="1" applyAlignment="1">
      <alignment horizontal="left" vertical="top" wrapText="1"/>
    </xf>
    <xf numFmtId="0" fontId="4" fillId="6" borderId="44" xfId="0" quotePrefix="1" applyFont="1" applyFill="1" applyBorder="1" applyAlignment="1">
      <alignment horizontal="left" vertical="top" wrapText="1"/>
    </xf>
    <xf numFmtId="0" fontId="4" fillId="6" borderId="60" xfId="0" quotePrefix="1" applyFont="1" applyFill="1" applyBorder="1" applyAlignment="1">
      <alignment horizontal="left" vertical="top" wrapText="1"/>
    </xf>
    <xf numFmtId="0" fontId="4" fillId="0" borderId="0" xfId="0" applyFont="1" applyAlignment="1">
      <alignment horizontal="center"/>
    </xf>
    <xf numFmtId="0" fontId="0" fillId="0" borderId="0" xfId="0" applyAlignment="1">
      <alignment horizontal="left" vertical="center"/>
    </xf>
    <xf numFmtId="0" fontId="45" fillId="14" borderId="0" xfId="0" applyFont="1" applyFill="1" applyAlignment="1">
      <alignment horizontal="center" vertical="center" wrapText="1"/>
    </xf>
    <xf numFmtId="0" fontId="0" fillId="0" borderId="4"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1" xfId="0" applyBorder="1" applyAlignment="1">
      <alignment vertical="center" wrapText="1"/>
    </xf>
    <xf numFmtId="0" fontId="7" fillId="0" borderId="3" xfId="1" applyBorder="1" applyAlignment="1">
      <alignment horizontal="center" vertical="center"/>
    </xf>
    <xf numFmtId="0" fontId="45" fillId="14" borderId="56" xfId="0" applyFont="1" applyFill="1" applyBorder="1" applyAlignment="1">
      <alignment horizontal="center" vertical="center" wrapText="1"/>
    </xf>
    <xf numFmtId="0" fontId="45" fillId="14" borderId="0" xfId="0" applyFont="1" applyFill="1" applyAlignment="1">
      <alignment horizontal="right" vertical="center" wrapText="1"/>
    </xf>
    <xf numFmtId="0" fontId="45" fillId="14" borderId="0" xfId="0" applyFont="1" applyFill="1" applyAlignment="1">
      <alignment horizontal="left" vertical="center" wrapText="1"/>
    </xf>
    <xf numFmtId="0" fontId="9" fillId="3" borderId="4" xfId="0" applyFont="1" applyFill="1" applyBorder="1" applyAlignment="1">
      <alignment horizontal="center"/>
    </xf>
    <xf numFmtId="0" fontId="9" fillId="3" borderId="23" xfId="0" applyFont="1" applyFill="1" applyBorder="1" applyAlignment="1">
      <alignment horizontal="center"/>
    </xf>
    <xf numFmtId="0" fontId="9" fillId="3" borderId="24" xfId="0" applyFont="1" applyFill="1" applyBorder="1" applyAlignment="1">
      <alignment horizontal="center"/>
    </xf>
    <xf numFmtId="0" fontId="9" fillId="3" borderId="4" xfId="0" applyFont="1" applyFill="1" applyBorder="1" applyAlignment="1">
      <alignment horizontal="center" vertical="center"/>
    </xf>
    <xf numFmtId="0" fontId="9" fillId="3" borderId="24" xfId="0" applyFont="1" applyFill="1" applyBorder="1" applyAlignment="1">
      <alignment horizontal="center" vertical="center"/>
    </xf>
    <xf numFmtId="0" fontId="10" fillId="0" borderId="1" xfId="0" applyFont="1" applyBorder="1" applyAlignment="1">
      <alignment vertical="center" wrapText="1"/>
    </xf>
    <xf numFmtId="3" fontId="17" fillId="3" borderId="17" xfId="0" applyNumberFormat="1" applyFont="1" applyFill="1" applyBorder="1" applyAlignment="1">
      <alignment horizontal="center" vertical="center"/>
    </xf>
    <xf numFmtId="3" fontId="17" fillId="3" borderId="16" xfId="0" applyNumberFormat="1" applyFont="1" applyFill="1" applyBorder="1" applyAlignment="1">
      <alignment horizontal="center" vertical="center"/>
    </xf>
    <xf numFmtId="3" fontId="17" fillId="3" borderId="62" xfId="0" applyNumberFormat="1" applyFont="1" applyFill="1" applyBorder="1" applyAlignment="1">
      <alignment horizontal="center" vertical="center"/>
    </xf>
    <xf numFmtId="0" fontId="64" fillId="11" borderId="17" xfId="0" applyFont="1" applyFill="1" applyBorder="1" applyAlignment="1">
      <alignment horizontal="center"/>
    </xf>
    <xf numFmtId="0" fontId="64" fillId="11" borderId="16" xfId="0" applyFont="1" applyFill="1" applyBorder="1" applyAlignment="1">
      <alignment horizontal="center"/>
    </xf>
    <xf numFmtId="0" fontId="64" fillId="11" borderId="62" xfId="0" applyFont="1" applyFill="1" applyBorder="1" applyAlignment="1">
      <alignment horizontal="center"/>
    </xf>
    <xf numFmtId="0" fontId="18" fillId="0" borderId="4" xfId="0" applyFont="1" applyBorder="1" applyAlignment="1">
      <alignment horizontal="center" vertical="center"/>
    </xf>
    <xf numFmtId="0" fontId="18" fillId="0" borderId="24" xfId="0" applyFont="1" applyBorder="1" applyAlignment="1">
      <alignment horizontal="center" vertical="center"/>
    </xf>
    <xf numFmtId="0" fontId="64" fillId="11" borderId="17" xfId="0" applyFont="1" applyFill="1" applyBorder="1" applyAlignment="1">
      <alignment horizontal="center" wrapText="1"/>
    </xf>
    <xf numFmtId="0" fontId="64" fillId="11" borderId="16" xfId="0" applyFont="1" applyFill="1" applyBorder="1" applyAlignment="1">
      <alignment horizontal="center" wrapText="1"/>
    </xf>
    <xf numFmtId="0" fontId="64" fillId="11" borderId="62" xfId="0" applyFont="1" applyFill="1" applyBorder="1" applyAlignment="1">
      <alignment horizontal="center" wrapText="1"/>
    </xf>
    <xf numFmtId="0" fontId="18" fillId="3" borderId="46" xfId="0" applyFont="1" applyFill="1" applyBorder="1" applyAlignment="1">
      <alignment horizontal="center" vertical="center"/>
    </xf>
    <xf numFmtId="0" fontId="18" fillId="3" borderId="24" xfId="0" applyFont="1" applyFill="1" applyBorder="1" applyAlignment="1">
      <alignment horizontal="center" vertical="center"/>
    </xf>
    <xf numFmtId="0" fontId="17" fillId="0" borderId="44" xfId="0" applyFont="1" applyBorder="1" applyAlignment="1">
      <alignment horizontal="left"/>
    </xf>
    <xf numFmtId="0" fontId="64" fillId="11" borderId="0" xfId="0" applyFont="1" applyFill="1" applyAlignment="1">
      <alignment horizontal="center" wrapText="1"/>
    </xf>
    <xf numFmtId="0" fontId="0" fillId="0" borderId="24" xfId="0" applyBorder="1" applyAlignment="1">
      <alignment vertical="center" wrapText="1"/>
    </xf>
    <xf numFmtId="0" fontId="9" fillId="3" borderId="26" xfId="0" applyFont="1" applyFill="1" applyBorder="1" applyAlignment="1">
      <alignment horizontal="center"/>
    </xf>
    <xf numFmtId="0" fontId="9" fillId="3" borderId="27" xfId="0" applyFont="1" applyFill="1" applyBorder="1" applyAlignment="1">
      <alignment horizontal="center"/>
    </xf>
    <xf numFmtId="0" fontId="9" fillId="3" borderId="25" xfId="0" applyFont="1" applyFill="1" applyBorder="1" applyAlignment="1">
      <alignment horizontal="center" vertical="center" wrapText="1"/>
    </xf>
    <xf numFmtId="0" fontId="9" fillId="3" borderId="28" xfId="0" applyFont="1" applyFill="1" applyBorder="1" applyAlignment="1">
      <alignment horizontal="center" vertical="center" wrapText="1"/>
    </xf>
    <xf numFmtId="0" fontId="9" fillId="3" borderId="14" xfId="0" applyFont="1" applyFill="1" applyBorder="1" applyAlignment="1">
      <alignment horizontal="center" vertical="center" wrapText="1"/>
    </xf>
    <xf numFmtId="0" fontId="0" fillId="0" borderId="24" xfId="0" applyBorder="1" applyAlignment="1">
      <alignment vertical="center"/>
    </xf>
    <xf numFmtId="0" fontId="0" fillId="0" borderId="1" xfId="0" applyBorder="1" applyAlignment="1">
      <alignment vertical="center"/>
    </xf>
    <xf numFmtId="0" fontId="33" fillId="0" borderId="23" xfId="0" applyFont="1" applyBorder="1" applyAlignment="1">
      <alignment vertical="center" wrapText="1"/>
    </xf>
    <xf numFmtId="0" fontId="33" fillId="0" borderId="24" xfId="0" applyFont="1" applyBorder="1" applyAlignment="1">
      <alignment vertical="center" wrapText="1"/>
    </xf>
    <xf numFmtId="0" fontId="33" fillId="0" borderId="23" xfId="0" applyFont="1" applyBorder="1" applyAlignment="1">
      <alignment horizontal="center"/>
    </xf>
    <xf numFmtId="0" fontId="33" fillId="0" borderId="24" xfId="0" applyFont="1" applyBorder="1" applyAlignment="1">
      <alignment horizontal="center"/>
    </xf>
    <xf numFmtId="0" fontId="0" fillId="0" borderId="4" xfId="0" applyBorder="1" applyAlignment="1">
      <alignment vertical="center" wrapText="1"/>
    </xf>
    <xf numFmtId="0" fontId="0" fillId="0" borderId="23" xfId="0" applyBorder="1" applyAlignment="1">
      <alignment vertical="center" wrapText="1"/>
    </xf>
    <xf numFmtId="0" fontId="33" fillId="0" borderId="4" xfId="0" applyFont="1" applyBorder="1" applyAlignment="1">
      <alignment horizontal="center"/>
    </xf>
    <xf numFmtId="0" fontId="33" fillId="0" borderId="4" xfId="0" applyFont="1" applyBorder="1" applyAlignment="1">
      <alignment vertical="center" wrapText="1"/>
    </xf>
    <xf numFmtId="0" fontId="45" fillId="3" borderId="0" xfId="0" applyFont="1" applyFill="1" applyAlignment="1">
      <alignment horizontal="center" vertical="center" wrapText="1"/>
    </xf>
    <xf numFmtId="0" fontId="33" fillId="0" borderId="1" xfId="0" applyFont="1" applyBorder="1" applyAlignment="1">
      <alignment vertical="center" wrapText="1"/>
    </xf>
    <xf numFmtId="165" fontId="57" fillId="0" borderId="24" xfId="0" applyNumberFormat="1" applyFont="1" applyBorder="1" applyAlignment="1">
      <alignment vertical="center" wrapText="1"/>
    </xf>
    <xf numFmtId="165" fontId="57" fillId="0" borderId="1" xfId="0" applyNumberFormat="1" applyFont="1" applyBorder="1" applyAlignment="1">
      <alignment vertical="center" wrapText="1"/>
    </xf>
    <xf numFmtId="0" fontId="33" fillId="0" borderId="46" xfId="0" applyFont="1" applyBorder="1" applyAlignment="1">
      <alignment horizontal="center"/>
    </xf>
    <xf numFmtId="0" fontId="0" fillId="12" borderId="0" xfId="0" applyFill="1" applyAlignment="1">
      <alignment vertical="top" wrapText="1"/>
    </xf>
    <xf numFmtId="0" fontId="45" fillId="16" borderId="0" xfId="0" applyFont="1" applyFill="1" applyAlignment="1">
      <alignment horizontal="center" vertical="center" wrapText="1"/>
    </xf>
    <xf numFmtId="0" fontId="45" fillId="16" borderId="56" xfId="0" applyFont="1" applyFill="1" applyBorder="1" applyAlignment="1">
      <alignment horizontal="center" vertical="center" wrapText="1"/>
    </xf>
    <xf numFmtId="0" fontId="45" fillId="16" borderId="0" xfId="0" applyFont="1" applyFill="1" applyAlignment="1">
      <alignment horizontal="right" vertical="center" wrapText="1"/>
    </xf>
    <xf numFmtId="0" fontId="45" fillId="16" borderId="0" xfId="0" applyFont="1" applyFill="1" applyAlignment="1">
      <alignment horizontal="left" vertical="center" wrapText="1"/>
    </xf>
    <xf numFmtId="0" fontId="4" fillId="3" borderId="0" xfId="0" applyFont="1" applyFill="1" applyAlignment="1">
      <alignment horizontal="center"/>
    </xf>
    <xf numFmtId="0" fontId="4" fillId="20" borderId="0" xfId="0" applyFont="1" applyFill="1" applyAlignment="1">
      <alignment horizontal="center"/>
    </xf>
    <xf numFmtId="0" fontId="0" fillId="20" borderId="0" xfId="0" applyFill="1" applyAlignment="1">
      <alignment horizontal="center" wrapText="1"/>
    </xf>
    <xf numFmtId="0" fontId="0" fillId="3" borderId="0" xfId="0" applyFill="1" applyAlignment="1">
      <alignment horizontal="center"/>
    </xf>
    <xf numFmtId="0" fontId="87" fillId="26" borderId="0" xfId="0" applyFont="1" applyFill="1" applyAlignment="1">
      <alignment horizontal="center" vertical="center"/>
    </xf>
    <xf numFmtId="0" fontId="87" fillId="3" borderId="0" xfId="0" applyFont="1" applyFill="1" applyAlignment="1">
      <alignment horizontal="center" vertical="center"/>
    </xf>
    <xf numFmtId="0" fontId="87" fillId="25" borderId="0" xfId="0" applyFont="1" applyFill="1" applyAlignment="1">
      <alignment horizontal="center" vertical="center"/>
    </xf>
    <xf numFmtId="0" fontId="87" fillId="0" borderId="0" xfId="0" applyFont="1" applyAlignment="1">
      <alignment horizontal="center" vertical="center"/>
    </xf>
    <xf numFmtId="0" fontId="91" fillId="7" borderId="0" xfId="0" applyFont="1" applyFill="1" applyAlignment="1">
      <alignment horizontal="center" vertical="center"/>
    </xf>
    <xf numFmtId="0" fontId="91" fillId="7" borderId="1" xfId="0" applyFont="1" applyFill="1" applyBorder="1" applyAlignment="1">
      <alignment horizontal="center" vertical="center"/>
    </xf>
    <xf numFmtId="0" fontId="87" fillId="27" borderId="1" xfId="0" applyFont="1" applyFill="1" applyBorder="1" applyAlignment="1">
      <alignment horizontal="center" vertical="center" wrapText="1"/>
    </xf>
    <xf numFmtId="0" fontId="91" fillId="0" borderId="0" xfId="0" applyFont="1" applyAlignment="1">
      <alignment horizontal="center" vertical="center"/>
    </xf>
    <xf numFmtId="8" fontId="96" fillId="31" borderId="43" xfId="0" applyNumberFormat="1" applyFont="1" applyFill="1" applyBorder="1" applyAlignment="1">
      <alignment horizontal="center" vertical="center"/>
    </xf>
    <xf numFmtId="0" fontId="96" fillId="31" borderId="43" xfId="0" applyFont="1" applyFill="1" applyBorder="1" applyAlignment="1">
      <alignment horizontal="center" vertical="center"/>
    </xf>
    <xf numFmtId="8" fontId="96" fillId="31" borderId="0" xfId="0" applyNumberFormat="1" applyFont="1" applyFill="1" applyAlignment="1">
      <alignment horizontal="center" vertical="center"/>
    </xf>
    <xf numFmtId="0" fontId="93" fillId="0" borderId="1" xfId="0" applyFont="1" applyBorder="1" applyAlignment="1">
      <alignment horizontal="center" vertical="center"/>
    </xf>
    <xf numFmtId="0" fontId="94" fillId="0" borderId="1" xfId="0" applyFont="1" applyBorder="1" applyAlignment="1">
      <alignment horizontal="center" vertical="center"/>
    </xf>
    <xf numFmtId="0" fontId="93" fillId="28" borderId="1" xfId="0" applyFont="1" applyFill="1" applyBorder="1" applyAlignment="1">
      <alignment horizontal="center" vertical="center"/>
    </xf>
    <xf numFmtId="0" fontId="87" fillId="29" borderId="5" xfId="0" applyFont="1" applyFill="1" applyBorder="1" applyAlignment="1">
      <alignment horizontal="center" vertical="center" wrapText="1"/>
    </xf>
    <xf numFmtId="0" fontId="87" fillId="29" borderId="1" xfId="0" applyFont="1" applyFill="1" applyBorder="1" applyAlignment="1">
      <alignment horizontal="center" vertical="center" wrapText="1"/>
    </xf>
    <xf numFmtId="0" fontId="87" fillId="0" borderId="0" xfId="0" applyFont="1" applyAlignment="1">
      <alignment horizontal="center"/>
    </xf>
    <xf numFmtId="0" fontId="87" fillId="28" borderId="0" xfId="0" applyFont="1" applyFill="1" applyAlignment="1">
      <alignment horizontal="center"/>
    </xf>
    <xf numFmtId="0" fontId="87" fillId="27" borderId="1" xfId="0" applyFont="1" applyFill="1" applyBorder="1" applyAlignment="1">
      <alignment horizontal="center" vertical="center"/>
    </xf>
    <xf numFmtId="0" fontId="95" fillId="30" borderId="4" xfId="0" applyFont="1" applyFill="1" applyBorder="1" applyAlignment="1">
      <alignment horizontal="center" vertical="center"/>
    </xf>
    <xf numFmtId="0" fontId="95" fillId="30" borderId="24" xfId="0" applyFont="1" applyFill="1" applyBorder="1" applyAlignment="1">
      <alignment horizontal="center" vertical="center"/>
    </xf>
    <xf numFmtId="0" fontId="95" fillId="30" borderId="3" xfId="0" applyFont="1" applyFill="1" applyBorder="1" applyAlignment="1">
      <alignment horizontal="center" vertical="center"/>
    </xf>
    <xf numFmtId="0" fontId="95" fillId="30" borderId="0" xfId="0" applyFont="1" applyFill="1" applyAlignment="1">
      <alignment horizontal="center" vertical="center"/>
    </xf>
    <xf numFmtId="0" fontId="10" fillId="0" borderId="0" xfId="12">
      <alignment horizontal="left" indent="5"/>
    </xf>
    <xf numFmtId="0" fontId="10" fillId="0" borderId="77" xfId="12" applyBorder="1">
      <alignment horizontal="left" indent="5"/>
    </xf>
    <xf numFmtId="0" fontId="10" fillId="0" borderId="74" xfId="11" applyBorder="1">
      <alignment horizontal="right" indent="1"/>
    </xf>
    <xf numFmtId="0" fontId="0" fillId="0" borderId="0" xfId="12" applyFont="1">
      <alignment horizontal="left" indent="5"/>
    </xf>
    <xf numFmtId="0" fontId="0" fillId="0" borderId="75" xfId="12" applyFont="1" applyBorder="1">
      <alignment horizontal="left" indent="5"/>
    </xf>
    <xf numFmtId="0" fontId="10" fillId="0" borderId="75" xfId="12" applyBorder="1">
      <alignment horizontal="left" indent="5"/>
    </xf>
    <xf numFmtId="0" fontId="70" fillId="19" borderId="4" xfId="7" applyFont="1" applyFill="1" applyBorder="1" applyAlignment="1">
      <alignment horizontal="center"/>
    </xf>
    <xf numFmtId="0" fontId="70" fillId="19" borderId="24" xfId="7" applyFont="1" applyFill="1" applyBorder="1" applyAlignment="1">
      <alignment horizontal="center"/>
    </xf>
    <xf numFmtId="0" fontId="0" fillId="0" borderId="54" xfId="0" applyBorder="1" applyAlignment="1">
      <alignment horizontal="left" vertical="center" wrapText="1"/>
    </xf>
    <xf numFmtId="3" fontId="37" fillId="0" borderId="37" xfId="3" quotePrefix="1" applyNumberFormat="1" applyFont="1" applyBorder="1"/>
    <xf numFmtId="2" fontId="38" fillId="0" borderId="37" xfId="3" quotePrefix="1" applyNumberFormat="1" applyFont="1" applyBorder="1"/>
    <xf numFmtId="3" fontId="38" fillId="0" borderId="37" xfId="3" quotePrefix="1" applyNumberFormat="1" applyFont="1" applyBorder="1"/>
    <xf numFmtId="0" fontId="37" fillId="0" borderId="37" xfId="3" applyFont="1" applyBorder="1"/>
    <xf numFmtId="1" fontId="38" fillId="0" borderId="37" xfId="3" applyNumberFormat="1" applyFont="1" applyBorder="1"/>
    <xf numFmtId="1" fontId="36" fillId="0" borderId="37" xfId="3" applyNumberFormat="1" applyFont="1" applyBorder="1"/>
    <xf numFmtId="3" fontId="29" fillId="0" borderId="0" xfId="3" quotePrefix="1" applyNumberFormat="1" applyFont="1" applyAlignment="1">
      <alignment horizontal="center"/>
    </xf>
    <xf numFmtId="0" fontId="29" fillId="0" borderId="0" xfId="3" applyFont="1"/>
    <xf numFmtId="1" fontId="40" fillId="0" borderId="37" xfId="3" applyNumberFormat="1" applyFont="1" applyBorder="1"/>
  </cellXfs>
  <cellStyles count="18">
    <cellStyle name="Date" xfId="16" xr:uid="{00000000-0005-0000-0000-000000000000}"/>
    <cellStyle name="Lien hypertexte" xfId="1" builtinId="8"/>
    <cellStyle name="Milliers" xfId="8" builtinId="3"/>
    <cellStyle name="Milliers 3" xfId="15" xr:uid="{00000000-0005-0000-0000-000003000000}"/>
    <cellStyle name="Monétaire" xfId="5" builtinId="4"/>
    <cellStyle name="Monétaire 2" xfId="4" xr:uid="{00000000-0005-0000-0000-000005000000}"/>
    <cellStyle name="Monétaire 3" xfId="13" xr:uid="{00000000-0005-0000-0000-000006000000}"/>
    <cellStyle name="Normal" xfId="0" builtinId="0"/>
    <cellStyle name="Normal 2" xfId="3" xr:uid="{00000000-0005-0000-0000-000008000000}"/>
    <cellStyle name="Normal 3" xfId="7" xr:uid="{00000000-0005-0000-0000-000009000000}"/>
    <cellStyle name="Normal 5" xfId="9" xr:uid="{00000000-0005-0000-0000-00000A000000}"/>
    <cellStyle name="Normal_FA Pied diabétique Endocrinologie(V8 analyse marginale 090310)" xfId="2" xr:uid="{00000000-0005-0000-0000-00000B000000}"/>
    <cellStyle name="Pourcentage" xfId="6" builtinId="5"/>
    <cellStyle name="Pourcentage 3" xfId="14" xr:uid="{00000000-0005-0000-0000-00000D000000}"/>
    <cellStyle name="Titre 1 2" xfId="11" xr:uid="{00000000-0005-0000-0000-00000F000000}"/>
    <cellStyle name="Titre 2 2" xfId="12" xr:uid="{00000000-0005-0000-0000-000010000000}"/>
    <cellStyle name="Titre 3 2" xfId="17" xr:uid="{00000000-0005-0000-0000-000011000000}"/>
    <cellStyle name="Titre 5" xfId="10" xr:uid="{00000000-0005-0000-0000-00000E000000}"/>
  </cellStyles>
  <dxfs count="20">
    <dxf>
      <font>
        <color auto="1"/>
      </font>
      <fill>
        <patternFill>
          <bgColor theme="6"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protection locked="1" hidden="0"/>
    </dxf>
    <dxf>
      <numFmt numFmtId="1" formatCode="0"/>
    </dxf>
    <dxf>
      <border outline="0">
        <bottom style="thin">
          <color indexed="20"/>
        </bottom>
      </border>
    </dxf>
    <dxf>
      <font>
        <b val="0"/>
        <i val="0"/>
        <strike val="0"/>
        <condense val="0"/>
        <extend val="0"/>
        <outline val="0"/>
        <shadow val="0"/>
        <u val="none"/>
        <vertAlign val="baseline"/>
        <sz val="9"/>
        <color auto="1"/>
        <name val="Calibri"/>
        <scheme val="minor"/>
      </font>
      <fill>
        <patternFill patternType="none">
          <fgColor indexed="64"/>
          <bgColor indexed="65"/>
        </patternFill>
      </fill>
      <alignment horizontal="right" vertical="bottom" textRotation="0" wrapText="0" indent="0" justifyLastLine="0" shrinkToFit="0" readingOrder="0"/>
    </dxf>
    <dxf>
      <border>
        <left/>
        <right style="thin">
          <color indexed="20"/>
        </right>
        <top/>
        <bottom style="thin">
          <color indexed="20"/>
        </bottom>
      </border>
    </dxf>
    <dxf>
      <border>
        <left/>
        <right/>
        <top/>
        <bottom/>
      </border>
    </dxf>
    <dxf>
      <border>
        <left style="thin">
          <color indexed="20"/>
        </left>
        <right/>
        <top/>
        <bottom style="thin">
          <color indexed="20"/>
        </bottom>
      </border>
    </dxf>
    <dxf>
      <border>
        <left/>
        <right/>
        <top/>
        <bottom/>
      </border>
    </dxf>
    <dxf>
      <border>
        <left/>
        <right/>
        <top/>
        <bottom style="thin">
          <color indexed="20"/>
        </bottom>
      </border>
    </dxf>
    <dxf>
      <border>
        <left/>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4.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3.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Invetsissements Projet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radarChart>
        <c:radarStyle val="marker"/>
        <c:varyColors val="0"/>
        <c:ser>
          <c:idx val="0"/>
          <c:order val="0"/>
          <c:spPr>
            <a:ln w="28575" cap="rnd">
              <a:solidFill>
                <a:schemeClr val="accent1"/>
              </a:solidFill>
              <a:round/>
            </a:ln>
            <a:effectLst/>
          </c:spPr>
          <c:marker>
            <c:symbol val="none"/>
          </c:marker>
          <c:cat>
            <c:strRef>
              <c:f>'2.1 INVEST'!$D$12:$D$15</c:f>
              <c:strCache>
                <c:ptCount val="4"/>
                <c:pt idx="0">
                  <c:v>Travaux</c:v>
                </c:pt>
                <c:pt idx="1">
                  <c:v>hotelier</c:v>
                </c:pt>
                <c:pt idx="2">
                  <c:v>informatique</c:v>
                </c:pt>
                <c:pt idx="3">
                  <c:v>biomed</c:v>
                </c:pt>
              </c:strCache>
            </c:strRef>
          </c:cat>
          <c:val>
            <c:numRef>
              <c:f>'2.1 INVEST'!$E$12:$E$15</c:f>
              <c:numCache>
                <c:formatCode>_-* #,##0\ "€"_-;\-* #,##0\ "€"_-;_-* "-"\ "€"_-;_-@_-</c:formatCode>
                <c:ptCount val="4"/>
                <c:pt idx="0">
                  <c:v>0</c:v>
                </c:pt>
                <c:pt idx="1">
                  <c:v>13298</c:v>
                </c:pt>
                <c:pt idx="2">
                  <c:v>0</c:v>
                </c:pt>
                <c:pt idx="3">
                  <c:v>356064</c:v>
                </c:pt>
              </c:numCache>
            </c:numRef>
          </c:val>
          <c:extLst>
            <c:ext xmlns:c16="http://schemas.microsoft.com/office/drawing/2014/chart" uri="{C3380CC4-5D6E-409C-BE32-E72D297353CC}">
              <c16:uniqueId val="{00000000-E80B-44AD-A2FA-CE410CE896F8}"/>
            </c:ext>
          </c:extLst>
        </c:ser>
        <c:dLbls>
          <c:showLegendKey val="0"/>
          <c:showVal val="0"/>
          <c:showCatName val="0"/>
          <c:showSerName val="0"/>
          <c:showPercent val="0"/>
          <c:showBubbleSize val="0"/>
        </c:dLbls>
        <c:axId val="162368800"/>
        <c:axId val="162369192"/>
      </c:radarChart>
      <c:catAx>
        <c:axId val="162368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2369192"/>
        <c:crosses val="autoZero"/>
        <c:auto val="1"/>
        <c:lblAlgn val="ctr"/>
        <c:lblOffset val="100"/>
        <c:noMultiLvlLbl val="0"/>
      </c:catAx>
      <c:valAx>
        <c:axId val="162369192"/>
        <c:scaling>
          <c:orientation val="minMax"/>
        </c:scaling>
        <c:delete val="0"/>
        <c:axPos val="l"/>
        <c:majorGridlines>
          <c:spPr>
            <a:ln w="9525" cap="flat" cmpd="sng" algn="ctr">
              <a:solidFill>
                <a:schemeClr val="tx1">
                  <a:lumMod val="15000"/>
                  <a:lumOff val="85000"/>
                </a:schemeClr>
              </a:solidFill>
              <a:round/>
            </a:ln>
            <a:effectLst/>
          </c:spPr>
        </c:majorGridlines>
        <c:numFmt formatCode="_-* #,##0\ &quot;€&quot;_-;\-* #,##0\ &quot;€&quot;_-;_-* &quot;-&quot;\ &quot;€&quot;_-;_-@_-"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2368800"/>
        <c:crosses val="autoZero"/>
        <c:crossBetween val="between"/>
        <c:minorUnit val="50000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checked="Checked"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4.jpeg"/></Relationships>
</file>

<file path=xl/drawings/_rels/drawing9.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104775</xdr:colOff>
      <xdr:row>1</xdr:row>
      <xdr:rowOff>85725</xdr:rowOff>
    </xdr:from>
    <xdr:to>
      <xdr:col>5</xdr:col>
      <xdr:colOff>238125</xdr:colOff>
      <xdr:row>16</xdr:row>
      <xdr:rowOff>114300</xdr:rowOff>
    </xdr:to>
    <xdr:sp macro="" textlink="">
      <xdr:nvSpPr>
        <xdr:cNvPr id="2" name="ZoneTexte 1">
          <a:extLst>
            <a:ext uri="{FF2B5EF4-FFF2-40B4-BE49-F238E27FC236}">
              <a16:creationId xmlns:a16="http://schemas.microsoft.com/office/drawing/2014/main" id="{00000000-0008-0000-0000-000002000000}"/>
            </a:ext>
          </a:extLst>
        </xdr:cNvPr>
        <xdr:cNvSpPr txBox="1"/>
      </xdr:nvSpPr>
      <xdr:spPr>
        <a:xfrm>
          <a:off x="104775" y="276225"/>
          <a:ext cx="3943350" cy="2886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a:p>
          <a:r>
            <a:rPr lang="fr-FR" sz="1100"/>
            <a:t>1er onglet Recap: </a:t>
          </a:r>
        </a:p>
        <a:p>
          <a:endParaRPr lang="fr-FR" sz="1100"/>
        </a:p>
        <a:p>
          <a:r>
            <a:rPr lang="fr-FR" sz="1100"/>
            <a:t>Formules bloquées</a:t>
          </a:r>
        </a:p>
        <a:p>
          <a:r>
            <a:rPr lang="fr-FR" sz="1100"/>
            <a:t>nom projet, pole, promoteur,</a:t>
          </a:r>
          <a:r>
            <a:rPr lang="fr-FR" sz="1100" baseline="0"/>
            <a:t> description sommaire, calendrier, Etapes et validation, Montant total inv, aide Inv, Dép et recettes margin par an, et résultat, critères éval</a:t>
          </a:r>
        </a:p>
        <a:p>
          <a:r>
            <a:rPr lang="fr-FR" sz="1100" baseline="0"/>
            <a:t>code projet: (à déterminer...): Projet-An-compteur: EX:P_21_001</a:t>
          </a:r>
        </a:p>
        <a:p>
          <a:endParaRPr lang="fr-FR" sz="1100" baseline="0"/>
        </a:p>
        <a:p>
          <a:r>
            <a:rPr lang="fr-FR" sz="1100" baseline="0"/>
            <a:t>2e onglet: Avant projet</a:t>
          </a:r>
        </a:p>
        <a:p>
          <a:endParaRPr lang="fr-FR" sz="1100" baseline="0"/>
        </a:p>
        <a:p>
          <a:endParaRPr lang="fr-FR" sz="1100" baseline="0"/>
        </a:p>
        <a:p>
          <a:r>
            <a:rPr lang="fr-FR" sz="1100"/>
            <a:t>Onglet Activité-Recettes</a:t>
          </a:r>
        </a:p>
        <a:p>
          <a:r>
            <a:rPr lang="fr-FR" sz="1100" baseline="0"/>
            <a:t> </a:t>
          </a:r>
          <a:r>
            <a:rPr lang="fr-FR" sz="1100"/>
            <a:t>- Capacité</a:t>
          </a:r>
          <a:r>
            <a:rPr lang="fr-FR" sz="1100" baseline="0"/>
            <a:t> . séjours sup, DMS cible, Consq TO, nb jrs sup</a:t>
          </a:r>
          <a:endParaRPr lang="fr-FR"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23</xdr:row>
          <xdr:rowOff>180975</xdr:rowOff>
        </xdr:from>
        <xdr:to>
          <xdr:col>12</xdr:col>
          <xdr:colOff>200025</xdr:colOff>
          <xdr:row>31</xdr:row>
          <xdr:rowOff>9525</xdr:rowOff>
        </xdr:to>
        <xdr:pic>
          <xdr:nvPicPr>
            <xdr:cNvPr id="27" name="Image 26">
              <a:extLst>
                <a:ext uri="{FF2B5EF4-FFF2-40B4-BE49-F238E27FC236}">
                  <a16:creationId xmlns:a16="http://schemas.microsoft.com/office/drawing/2014/main" id="{00000000-0008-0000-0100-00001B000000}"/>
                </a:ext>
              </a:extLst>
            </xdr:cNvPr>
            <xdr:cNvPicPr>
              <a:picLocks noChangeAspect="1" noChangeArrowheads="1"/>
              <a:extLst>
                <a:ext uri="{84589F7E-364E-4C9E-8A38-B11213B215E9}">
                  <a14:cameraTool cellRange="'1- Avant Projet'!$A$19:$M$26" spid="_x0000_s2470"/>
                </a:ext>
              </a:extLst>
            </xdr:cNvPicPr>
          </xdr:nvPicPr>
          <xdr:blipFill rotWithShape="1">
            <a:blip xmlns:r="http://schemas.openxmlformats.org/officeDocument/2006/relationships" r:embed="rId1"/>
            <a:srcRect t="11801"/>
            <a:stretch>
              <a:fillRect/>
            </a:stretch>
          </xdr:blipFill>
          <xdr:spPr bwMode="auto">
            <a:xfrm>
              <a:off x="0" y="4657725"/>
              <a:ext cx="10315575" cy="135255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142875</xdr:colOff>
      <xdr:row>0</xdr:row>
      <xdr:rowOff>133350</xdr:rowOff>
    </xdr:from>
    <xdr:to>
      <xdr:col>2</xdr:col>
      <xdr:colOff>742425</xdr:colOff>
      <xdr:row>4</xdr:row>
      <xdr:rowOff>38100</xdr:rowOff>
    </xdr:to>
    <xdr:pic>
      <xdr:nvPicPr>
        <xdr:cNvPr id="4" name="Image 3" descr="CHUlogoQ">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2875" y="133350"/>
          <a:ext cx="22283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749300</xdr:colOff>
          <xdr:row>18</xdr:row>
          <xdr:rowOff>165100</xdr:rowOff>
        </xdr:from>
        <xdr:to>
          <xdr:col>3</xdr:col>
          <xdr:colOff>279400</xdr:colOff>
          <xdr:row>20</xdr:row>
          <xdr:rowOff>25400</xdr:rowOff>
        </xdr:to>
        <xdr:sp macro="" textlink="">
          <xdr:nvSpPr>
            <xdr:cNvPr id="15361" name="Check Box 1" descr="test" hidden="1">
              <a:extLst>
                <a:ext uri="{63B3BB69-23CF-44E3-9099-C40C66FF867C}">
                  <a14:compatExt spid="_x0000_s15361"/>
                </a:ext>
                <a:ext uri="{FF2B5EF4-FFF2-40B4-BE49-F238E27FC236}">
                  <a16:creationId xmlns:a16="http://schemas.microsoft.com/office/drawing/2014/main" id="{00000000-0008-0000-0200-00000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749300</xdr:colOff>
          <xdr:row>19</xdr:row>
          <xdr:rowOff>165100</xdr:rowOff>
        </xdr:from>
        <xdr:to>
          <xdr:col>3</xdr:col>
          <xdr:colOff>279400</xdr:colOff>
          <xdr:row>21</xdr:row>
          <xdr:rowOff>25400</xdr:rowOff>
        </xdr:to>
        <xdr:sp macro="" textlink="">
          <xdr:nvSpPr>
            <xdr:cNvPr id="15363" name="Check Box 3" hidden="1">
              <a:extLst>
                <a:ext uri="{63B3BB69-23CF-44E3-9099-C40C66FF867C}">
                  <a14:compatExt spid="_x0000_s15363"/>
                </a:ext>
                <a:ext uri="{FF2B5EF4-FFF2-40B4-BE49-F238E27FC236}">
                  <a16:creationId xmlns:a16="http://schemas.microsoft.com/office/drawing/2014/main" id="{00000000-0008-0000-0200-00000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749300</xdr:colOff>
          <xdr:row>18</xdr:row>
          <xdr:rowOff>165100</xdr:rowOff>
        </xdr:from>
        <xdr:to>
          <xdr:col>7</xdr:col>
          <xdr:colOff>279400</xdr:colOff>
          <xdr:row>20</xdr:row>
          <xdr:rowOff>25400</xdr:rowOff>
        </xdr:to>
        <xdr:sp macro="" textlink="">
          <xdr:nvSpPr>
            <xdr:cNvPr id="15364" name="Check Box 4" hidden="1">
              <a:extLst>
                <a:ext uri="{63B3BB69-23CF-44E3-9099-C40C66FF867C}">
                  <a14:compatExt spid="_x0000_s15364"/>
                </a:ext>
                <a:ext uri="{FF2B5EF4-FFF2-40B4-BE49-F238E27FC236}">
                  <a16:creationId xmlns:a16="http://schemas.microsoft.com/office/drawing/2014/main" id="{00000000-0008-0000-0200-00000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749300</xdr:colOff>
          <xdr:row>19</xdr:row>
          <xdr:rowOff>165100</xdr:rowOff>
        </xdr:from>
        <xdr:to>
          <xdr:col>7</xdr:col>
          <xdr:colOff>279400</xdr:colOff>
          <xdr:row>21</xdr:row>
          <xdr:rowOff>25400</xdr:rowOff>
        </xdr:to>
        <xdr:sp macro="" textlink="">
          <xdr:nvSpPr>
            <xdr:cNvPr id="15365" name="Check Box 5" hidden="1">
              <a:extLst>
                <a:ext uri="{63B3BB69-23CF-44E3-9099-C40C66FF867C}">
                  <a14:compatExt spid="_x0000_s15365"/>
                </a:ext>
                <a:ext uri="{FF2B5EF4-FFF2-40B4-BE49-F238E27FC236}">
                  <a16:creationId xmlns:a16="http://schemas.microsoft.com/office/drawing/2014/main" id="{00000000-0008-0000-0200-00000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749300</xdr:colOff>
          <xdr:row>18</xdr:row>
          <xdr:rowOff>165100</xdr:rowOff>
        </xdr:from>
        <xdr:to>
          <xdr:col>12</xdr:col>
          <xdr:colOff>279400</xdr:colOff>
          <xdr:row>20</xdr:row>
          <xdr:rowOff>25400</xdr:rowOff>
        </xdr:to>
        <xdr:sp macro="" textlink="">
          <xdr:nvSpPr>
            <xdr:cNvPr id="15366" name="Check Box 6" hidden="1">
              <a:extLst>
                <a:ext uri="{63B3BB69-23CF-44E3-9099-C40C66FF867C}">
                  <a14:compatExt spid="_x0000_s15366"/>
                </a:ext>
                <a:ext uri="{FF2B5EF4-FFF2-40B4-BE49-F238E27FC236}">
                  <a16:creationId xmlns:a16="http://schemas.microsoft.com/office/drawing/2014/main" id="{00000000-0008-0000-0200-00000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749300</xdr:colOff>
          <xdr:row>22</xdr:row>
          <xdr:rowOff>165100</xdr:rowOff>
        </xdr:from>
        <xdr:to>
          <xdr:col>3</xdr:col>
          <xdr:colOff>279400</xdr:colOff>
          <xdr:row>24</xdr:row>
          <xdr:rowOff>25400</xdr:rowOff>
        </xdr:to>
        <xdr:sp macro="" textlink="">
          <xdr:nvSpPr>
            <xdr:cNvPr id="15368" name="Check Box 8" hidden="1">
              <a:extLst>
                <a:ext uri="{63B3BB69-23CF-44E3-9099-C40C66FF867C}">
                  <a14:compatExt spid="_x0000_s15368"/>
                </a:ext>
                <a:ext uri="{FF2B5EF4-FFF2-40B4-BE49-F238E27FC236}">
                  <a16:creationId xmlns:a16="http://schemas.microsoft.com/office/drawing/2014/main" id="{00000000-0008-0000-0200-000008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749300</xdr:colOff>
          <xdr:row>22</xdr:row>
          <xdr:rowOff>165100</xdr:rowOff>
        </xdr:from>
        <xdr:to>
          <xdr:col>3</xdr:col>
          <xdr:colOff>279400</xdr:colOff>
          <xdr:row>24</xdr:row>
          <xdr:rowOff>25400</xdr:rowOff>
        </xdr:to>
        <xdr:sp macro="" textlink="">
          <xdr:nvSpPr>
            <xdr:cNvPr id="15369" name="Check Box 9" hidden="1">
              <a:extLst>
                <a:ext uri="{63B3BB69-23CF-44E3-9099-C40C66FF867C}">
                  <a14:compatExt spid="_x0000_s15369"/>
                </a:ext>
                <a:ext uri="{FF2B5EF4-FFF2-40B4-BE49-F238E27FC236}">
                  <a16:creationId xmlns:a16="http://schemas.microsoft.com/office/drawing/2014/main" id="{00000000-0008-0000-0200-000009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749300</xdr:colOff>
          <xdr:row>23</xdr:row>
          <xdr:rowOff>165100</xdr:rowOff>
        </xdr:from>
        <xdr:to>
          <xdr:col>3</xdr:col>
          <xdr:colOff>279400</xdr:colOff>
          <xdr:row>25</xdr:row>
          <xdr:rowOff>25400</xdr:rowOff>
        </xdr:to>
        <xdr:sp macro="" textlink="">
          <xdr:nvSpPr>
            <xdr:cNvPr id="15370" name="Check Box 10" hidden="1">
              <a:extLst>
                <a:ext uri="{63B3BB69-23CF-44E3-9099-C40C66FF867C}">
                  <a14:compatExt spid="_x0000_s15370"/>
                </a:ext>
                <a:ext uri="{FF2B5EF4-FFF2-40B4-BE49-F238E27FC236}">
                  <a16:creationId xmlns:a16="http://schemas.microsoft.com/office/drawing/2014/main" id="{00000000-0008-0000-0200-00000A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749300</xdr:colOff>
          <xdr:row>22</xdr:row>
          <xdr:rowOff>165100</xdr:rowOff>
        </xdr:from>
        <xdr:to>
          <xdr:col>7</xdr:col>
          <xdr:colOff>279400</xdr:colOff>
          <xdr:row>24</xdr:row>
          <xdr:rowOff>25400</xdr:rowOff>
        </xdr:to>
        <xdr:sp macro="" textlink="">
          <xdr:nvSpPr>
            <xdr:cNvPr id="15372" name="Check Box 12" hidden="1">
              <a:extLst>
                <a:ext uri="{63B3BB69-23CF-44E3-9099-C40C66FF867C}">
                  <a14:compatExt spid="_x0000_s15372"/>
                </a:ext>
                <a:ext uri="{FF2B5EF4-FFF2-40B4-BE49-F238E27FC236}">
                  <a16:creationId xmlns:a16="http://schemas.microsoft.com/office/drawing/2014/main" id="{00000000-0008-0000-0200-00000C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749300</xdr:colOff>
          <xdr:row>22</xdr:row>
          <xdr:rowOff>165100</xdr:rowOff>
        </xdr:from>
        <xdr:to>
          <xdr:col>7</xdr:col>
          <xdr:colOff>279400</xdr:colOff>
          <xdr:row>24</xdr:row>
          <xdr:rowOff>25400</xdr:rowOff>
        </xdr:to>
        <xdr:sp macro="" textlink="">
          <xdr:nvSpPr>
            <xdr:cNvPr id="15373" name="Check Box 13" hidden="1">
              <a:extLst>
                <a:ext uri="{63B3BB69-23CF-44E3-9099-C40C66FF867C}">
                  <a14:compatExt spid="_x0000_s15373"/>
                </a:ext>
                <a:ext uri="{FF2B5EF4-FFF2-40B4-BE49-F238E27FC236}">
                  <a16:creationId xmlns:a16="http://schemas.microsoft.com/office/drawing/2014/main" id="{00000000-0008-0000-0200-00000D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749300</xdr:colOff>
          <xdr:row>23</xdr:row>
          <xdr:rowOff>165100</xdr:rowOff>
        </xdr:from>
        <xdr:to>
          <xdr:col>7</xdr:col>
          <xdr:colOff>279400</xdr:colOff>
          <xdr:row>25</xdr:row>
          <xdr:rowOff>25400</xdr:rowOff>
        </xdr:to>
        <xdr:sp macro="" textlink="">
          <xdr:nvSpPr>
            <xdr:cNvPr id="15374" name="Check Box 14" hidden="1">
              <a:extLst>
                <a:ext uri="{63B3BB69-23CF-44E3-9099-C40C66FF867C}">
                  <a14:compatExt spid="_x0000_s15374"/>
                </a:ext>
                <a:ext uri="{FF2B5EF4-FFF2-40B4-BE49-F238E27FC236}">
                  <a16:creationId xmlns:a16="http://schemas.microsoft.com/office/drawing/2014/main" id="{00000000-0008-0000-0200-00000E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330200</xdr:colOff>
          <xdr:row>125</xdr:row>
          <xdr:rowOff>177800</xdr:rowOff>
        </xdr:from>
        <xdr:to>
          <xdr:col>1</xdr:col>
          <xdr:colOff>635000</xdr:colOff>
          <xdr:row>127</xdr:row>
          <xdr:rowOff>25400</xdr:rowOff>
        </xdr:to>
        <xdr:sp macro="" textlink="">
          <xdr:nvSpPr>
            <xdr:cNvPr id="15379" name="Check Box 19" hidden="1">
              <a:extLst>
                <a:ext uri="{63B3BB69-23CF-44E3-9099-C40C66FF867C}">
                  <a14:compatExt spid="_x0000_s15379"/>
                </a:ext>
                <a:ext uri="{FF2B5EF4-FFF2-40B4-BE49-F238E27FC236}">
                  <a16:creationId xmlns:a16="http://schemas.microsoft.com/office/drawing/2014/main" id="{00000000-0008-0000-02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330200</xdr:colOff>
          <xdr:row>126</xdr:row>
          <xdr:rowOff>177800</xdr:rowOff>
        </xdr:from>
        <xdr:to>
          <xdr:col>1</xdr:col>
          <xdr:colOff>635000</xdr:colOff>
          <xdr:row>128</xdr:row>
          <xdr:rowOff>38100</xdr:rowOff>
        </xdr:to>
        <xdr:sp macro="" textlink="">
          <xdr:nvSpPr>
            <xdr:cNvPr id="15380" name="Check Box 20" hidden="1">
              <a:extLst>
                <a:ext uri="{63B3BB69-23CF-44E3-9099-C40C66FF867C}">
                  <a14:compatExt spid="_x0000_s15380"/>
                </a:ext>
                <a:ext uri="{FF2B5EF4-FFF2-40B4-BE49-F238E27FC236}">
                  <a16:creationId xmlns:a16="http://schemas.microsoft.com/office/drawing/2014/main" id="{00000000-0008-0000-02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254000</xdr:colOff>
          <xdr:row>126</xdr:row>
          <xdr:rowOff>0</xdr:rowOff>
        </xdr:from>
        <xdr:to>
          <xdr:col>4</xdr:col>
          <xdr:colOff>546100</xdr:colOff>
          <xdr:row>127</xdr:row>
          <xdr:rowOff>63500</xdr:rowOff>
        </xdr:to>
        <xdr:sp macro="" textlink="">
          <xdr:nvSpPr>
            <xdr:cNvPr id="15382" name="Check Box 22" hidden="1">
              <a:extLst>
                <a:ext uri="{63B3BB69-23CF-44E3-9099-C40C66FF867C}">
                  <a14:compatExt spid="_x0000_s15382"/>
                </a:ext>
                <a:ext uri="{FF2B5EF4-FFF2-40B4-BE49-F238E27FC236}">
                  <a16:creationId xmlns:a16="http://schemas.microsoft.com/office/drawing/2014/main" id="{00000000-0008-0000-02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254000</xdr:colOff>
          <xdr:row>127</xdr:row>
          <xdr:rowOff>0</xdr:rowOff>
        </xdr:from>
        <xdr:to>
          <xdr:col>4</xdr:col>
          <xdr:colOff>546100</xdr:colOff>
          <xdr:row>128</xdr:row>
          <xdr:rowOff>63500</xdr:rowOff>
        </xdr:to>
        <xdr:sp macro="" textlink="">
          <xdr:nvSpPr>
            <xdr:cNvPr id="15384" name="Check Box 24" hidden="1">
              <a:extLst>
                <a:ext uri="{63B3BB69-23CF-44E3-9099-C40C66FF867C}">
                  <a14:compatExt spid="_x0000_s15384"/>
                </a:ext>
                <a:ext uri="{FF2B5EF4-FFF2-40B4-BE49-F238E27FC236}">
                  <a16:creationId xmlns:a16="http://schemas.microsoft.com/office/drawing/2014/main" id="{00000000-0008-0000-0200-000018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254000</xdr:colOff>
          <xdr:row>128</xdr:row>
          <xdr:rowOff>0</xdr:rowOff>
        </xdr:from>
        <xdr:to>
          <xdr:col>4</xdr:col>
          <xdr:colOff>546100</xdr:colOff>
          <xdr:row>133</xdr:row>
          <xdr:rowOff>63500</xdr:rowOff>
        </xdr:to>
        <xdr:sp macro="" textlink="">
          <xdr:nvSpPr>
            <xdr:cNvPr id="15385" name="Check Box 25" hidden="1">
              <a:extLst>
                <a:ext uri="{63B3BB69-23CF-44E3-9099-C40C66FF867C}">
                  <a14:compatExt spid="_x0000_s15385"/>
                </a:ext>
                <a:ext uri="{FF2B5EF4-FFF2-40B4-BE49-F238E27FC236}">
                  <a16:creationId xmlns:a16="http://schemas.microsoft.com/office/drawing/2014/main" id="{00000000-0008-0000-0200-000019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279400</xdr:colOff>
          <xdr:row>124</xdr:row>
          <xdr:rowOff>165100</xdr:rowOff>
        </xdr:from>
        <xdr:to>
          <xdr:col>8</xdr:col>
          <xdr:colOff>571500</xdr:colOff>
          <xdr:row>126</xdr:row>
          <xdr:rowOff>25400</xdr:rowOff>
        </xdr:to>
        <xdr:sp macro="" textlink="">
          <xdr:nvSpPr>
            <xdr:cNvPr id="15386" name="Check Box 26" hidden="1">
              <a:extLst>
                <a:ext uri="{63B3BB69-23CF-44E3-9099-C40C66FF867C}">
                  <a14:compatExt spid="_x0000_s15386"/>
                </a:ext>
                <a:ext uri="{FF2B5EF4-FFF2-40B4-BE49-F238E27FC236}">
                  <a16:creationId xmlns:a16="http://schemas.microsoft.com/office/drawing/2014/main" id="{00000000-0008-0000-0200-00001A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124</xdr:row>
          <xdr:rowOff>177800</xdr:rowOff>
        </xdr:from>
        <xdr:to>
          <xdr:col>12</xdr:col>
          <xdr:colOff>342900</xdr:colOff>
          <xdr:row>126</xdr:row>
          <xdr:rowOff>38100</xdr:rowOff>
        </xdr:to>
        <xdr:sp macro="" textlink="">
          <xdr:nvSpPr>
            <xdr:cNvPr id="15387" name="Check Box 27" hidden="1">
              <a:extLst>
                <a:ext uri="{63B3BB69-23CF-44E3-9099-C40C66FF867C}">
                  <a14:compatExt spid="_x0000_s15387"/>
                </a:ext>
                <a:ext uri="{FF2B5EF4-FFF2-40B4-BE49-F238E27FC236}">
                  <a16:creationId xmlns:a16="http://schemas.microsoft.com/office/drawing/2014/main" id="{00000000-0008-0000-0200-00001B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126</xdr:row>
          <xdr:rowOff>177800</xdr:rowOff>
        </xdr:from>
        <xdr:to>
          <xdr:col>8</xdr:col>
          <xdr:colOff>368300</xdr:colOff>
          <xdr:row>128</xdr:row>
          <xdr:rowOff>38100</xdr:rowOff>
        </xdr:to>
        <xdr:sp macro="" textlink="">
          <xdr:nvSpPr>
            <xdr:cNvPr id="15388" name="Check Box 28" hidden="1">
              <a:extLst>
                <a:ext uri="{63B3BB69-23CF-44E3-9099-C40C66FF867C}">
                  <a14:compatExt spid="_x0000_s15388"/>
                </a:ext>
                <a:ext uri="{FF2B5EF4-FFF2-40B4-BE49-F238E27FC236}">
                  <a16:creationId xmlns:a16="http://schemas.microsoft.com/office/drawing/2014/main" id="{00000000-0008-0000-0200-00001C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215900</xdr:colOff>
          <xdr:row>134</xdr:row>
          <xdr:rowOff>177800</xdr:rowOff>
        </xdr:from>
        <xdr:to>
          <xdr:col>5</xdr:col>
          <xdr:colOff>520700</xdr:colOff>
          <xdr:row>136</xdr:row>
          <xdr:rowOff>38100</xdr:rowOff>
        </xdr:to>
        <xdr:sp macro="" textlink="">
          <xdr:nvSpPr>
            <xdr:cNvPr id="15397" name="Check Box 37" hidden="1">
              <a:extLst>
                <a:ext uri="{63B3BB69-23CF-44E3-9099-C40C66FF867C}">
                  <a14:compatExt spid="_x0000_s15397"/>
                </a:ext>
                <a:ext uri="{FF2B5EF4-FFF2-40B4-BE49-F238E27FC236}">
                  <a16:creationId xmlns:a16="http://schemas.microsoft.com/office/drawing/2014/main" id="{00000000-0008-0000-0200-00002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134</xdr:row>
          <xdr:rowOff>177800</xdr:rowOff>
        </xdr:from>
        <xdr:to>
          <xdr:col>2</xdr:col>
          <xdr:colOff>520700</xdr:colOff>
          <xdr:row>136</xdr:row>
          <xdr:rowOff>38100</xdr:rowOff>
        </xdr:to>
        <xdr:sp macro="" textlink="">
          <xdr:nvSpPr>
            <xdr:cNvPr id="15398" name="Check Box 38" hidden="1">
              <a:extLst>
                <a:ext uri="{63B3BB69-23CF-44E3-9099-C40C66FF867C}">
                  <a14:compatExt spid="_x0000_s15398"/>
                </a:ext>
                <a:ext uri="{FF2B5EF4-FFF2-40B4-BE49-F238E27FC236}">
                  <a16:creationId xmlns:a16="http://schemas.microsoft.com/office/drawing/2014/main" id="{00000000-0008-0000-0200-00002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215900</xdr:colOff>
          <xdr:row>134</xdr:row>
          <xdr:rowOff>177800</xdr:rowOff>
        </xdr:from>
        <xdr:to>
          <xdr:col>8</xdr:col>
          <xdr:colOff>520700</xdr:colOff>
          <xdr:row>136</xdr:row>
          <xdr:rowOff>25400</xdr:rowOff>
        </xdr:to>
        <xdr:sp macro="" textlink="">
          <xdr:nvSpPr>
            <xdr:cNvPr id="15399" name="Check Box 39" hidden="1">
              <a:extLst>
                <a:ext uri="{63B3BB69-23CF-44E3-9099-C40C66FF867C}">
                  <a14:compatExt spid="_x0000_s15399"/>
                </a:ext>
                <a:ext uri="{FF2B5EF4-FFF2-40B4-BE49-F238E27FC236}">
                  <a16:creationId xmlns:a16="http://schemas.microsoft.com/office/drawing/2014/main" id="{00000000-0008-0000-0200-00002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558800</xdr:colOff>
          <xdr:row>134</xdr:row>
          <xdr:rowOff>177800</xdr:rowOff>
        </xdr:from>
        <xdr:to>
          <xdr:col>12</xdr:col>
          <xdr:colOff>101600</xdr:colOff>
          <xdr:row>136</xdr:row>
          <xdr:rowOff>25400</xdr:rowOff>
        </xdr:to>
        <xdr:sp macro="" textlink="">
          <xdr:nvSpPr>
            <xdr:cNvPr id="15400" name="Check Box 40" hidden="1">
              <a:extLst>
                <a:ext uri="{63B3BB69-23CF-44E3-9099-C40C66FF867C}">
                  <a14:compatExt spid="_x0000_s15400"/>
                </a:ext>
                <a:ext uri="{FF2B5EF4-FFF2-40B4-BE49-F238E27FC236}">
                  <a16:creationId xmlns:a16="http://schemas.microsoft.com/office/drawing/2014/main" id="{00000000-0008-0000-0200-000028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749300</xdr:colOff>
          <xdr:row>22</xdr:row>
          <xdr:rowOff>165100</xdr:rowOff>
        </xdr:from>
        <xdr:to>
          <xdr:col>12</xdr:col>
          <xdr:colOff>279400</xdr:colOff>
          <xdr:row>24</xdr:row>
          <xdr:rowOff>25400</xdr:rowOff>
        </xdr:to>
        <xdr:sp macro="" textlink="">
          <xdr:nvSpPr>
            <xdr:cNvPr id="15406" name="Check Box 46" hidden="1">
              <a:extLst>
                <a:ext uri="{63B3BB69-23CF-44E3-9099-C40C66FF867C}">
                  <a14:compatExt spid="_x0000_s15406"/>
                </a:ext>
                <a:ext uri="{FF2B5EF4-FFF2-40B4-BE49-F238E27FC236}">
                  <a16:creationId xmlns:a16="http://schemas.microsoft.com/office/drawing/2014/main" id="{00000000-0008-0000-0200-00002E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749300</xdr:colOff>
          <xdr:row>22</xdr:row>
          <xdr:rowOff>165100</xdr:rowOff>
        </xdr:from>
        <xdr:to>
          <xdr:col>12</xdr:col>
          <xdr:colOff>279400</xdr:colOff>
          <xdr:row>24</xdr:row>
          <xdr:rowOff>25400</xdr:rowOff>
        </xdr:to>
        <xdr:sp macro="" textlink="">
          <xdr:nvSpPr>
            <xdr:cNvPr id="15407" name="Check Box 47" hidden="1">
              <a:extLst>
                <a:ext uri="{63B3BB69-23CF-44E3-9099-C40C66FF867C}">
                  <a14:compatExt spid="_x0000_s15407"/>
                </a:ext>
                <a:ext uri="{FF2B5EF4-FFF2-40B4-BE49-F238E27FC236}">
                  <a16:creationId xmlns:a16="http://schemas.microsoft.com/office/drawing/2014/main" id="{00000000-0008-0000-0200-00002F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558800</xdr:colOff>
          <xdr:row>139</xdr:row>
          <xdr:rowOff>165100</xdr:rowOff>
        </xdr:from>
        <xdr:to>
          <xdr:col>5</xdr:col>
          <xdr:colOff>101600</xdr:colOff>
          <xdr:row>141</xdr:row>
          <xdr:rowOff>25400</xdr:rowOff>
        </xdr:to>
        <xdr:sp macro="" textlink="">
          <xdr:nvSpPr>
            <xdr:cNvPr id="15412" name="Check Box 52" hidden="1">
              <a:extLst>
                <a:ext uri="{63B3BB69-23CF-44E3-9099-C40C66FF867C}">
                  <a14:compatExt spid="_x0000_s15412"/>
                </a:ext>
                <a:ext uri="{FF2B5EF4-FFF2-40B4-BE49-F238E27FC236}">
                  <a16:creationId xmlns:a16="http://schemas.microsoft.com/office/drawing/2014/main" id="{00000000-0008-0000-0200-00003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139</xdr:row>
          <xdr:rowOff>177800</xdr:rowOff>
        </xdr:from>
        <xdr:to>
          <xdr:col>3</xdr:col>
          <xdr:colOff>101600</xdr:colOff>
          <xdr:row>141</xdr:row>
          <xdr:rowOff>50800</xdr:rowOff>
        </xdr:to>
        <xdr:sp macro="" textlink="">
          <xdr:nvSpPr>
            <xdr:cNvPr id="15413" name="Check Box 53" hidden="1">
              <a:extLst>
                <a:ext uri="{63B3BB69-23CF-44E3-9099-C40C66FF867C}">
                  <a14:compatExt spid="_x0000_s15413"/>
                </a:ext>
                <a:ext uri="{FF2B5EF4-FFF2-40B4-BE49-F238E27FC236}">
                  <a16:creationId xmlns:a16="http://schemas.microsoft.com/office/drawing/2014/main" id="{00000000-0008-0000-0200-00003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571500</xdr:colOff>
          <xdr:row>139</xdr:row>
          <xdr:rowOff>177800</xdr:rowOff>
        </xdr:from>
        <xdr:to>
          <xdr:col>9</xdr:col>
          <xdr:colOff>101600</xdr:colOff>
          <xdr:row>141</xdr:row>
          <xdr:rowOff>38100</xdr:rowOff>
        </xdr:to>
        <xdr:sp macro="" textlink="">
          <xdr:nvSpPr>
            <xdr:cNvPr id="15414" name="Check Box 54" hidden="1">
              <a:extLst>
                <a:ext uri="{63B3BB69-23CF-44E3-9099-C40C66FF867C}">
                  <a14:compatExt spid="_x0000_s15414"/>
                </a:ext>
                <a:ext uri="{FF2B5EF4-FFF2-40B4-BE49-F238E27FC236}">
                  <a16:creationId xmlns:a16="http://schemas.microsoft.com/office/drawing/2014/main" id="{00000000-0008-0000-0200-00003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558800</xdr:colOff>
          <xdr:row>141</xdr:row>
          <xdr:rowOff>0</xdr:rowOff>
        </xdr:from>
        <xdr:to>
          <xdr:col>3</xdr:col>
          <xdr:colOff>101600</xdr:colOff>
          <xdr:row>142</xdr:row>
          <xdr:rowOff>63500</xdr:rowOff>
        </xdr:to>
        <xdr:sp macro="" textlink="">
          <xdr:nvSpPr>
            <xdr:cNvPr id="15415" name="Check Box 55" hidden="1">
              <a:extLst>
                <a:ext uri="{63B3BB69-23CF-44E3-9099-C40C66FF867C}">
                  <a14:compatExt spid="_x0000_s15415"/>
                </a:ext>
                <a:ext uri="{FF2B5EF4-FFF2-40B4-BE49-F238E27FC236}">
                  <a16:creationId xmlns:a16="http://schemas.microsoft.com/office/drawing/2014/main" id="{00000000-0008-0000-0200-00003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749300</xdr:colOff>
          <xdr:row>23</xdr:row>
          <xdr:rowOff>165100</xdr:rowOff>
        </xdr:from>
        <xdr:to>
          <xdr:col>12</xdr:col>
          <xdr:colOff>279400</xdr:colOff>
          <xdr:row>25</xdr:row>
          <xdr:rowOff>25400</xdr:rowOff>
        </xdr:to>
        <xdr:sp macro="" textlink="">
          <xdr:nvSpPr>
            <xdr:cNvPr id="15416" name="Check Box 56" hidden="1">
              <a:extLst>
                <a:ext uri="{63B3BB69-23CF-44E3-9099-C40C66FF867C}">
                  <a14:compatExt spid="_x0000_s15416"/>
                </a:ext>
                <a:ext uri="{FF2B5EF4-FFF2-40B4-BE49-F238E27FC236}">
                  <a16:creationId xmlns:a16="http://schemas.microsoft.com/office/drawing/2014/main" id="{00000000-0008-0000-0200-000038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546100</xdr:colOff>
          <xdr:row>139</xdr:row>
          <xdr:rowOff>177800</xdr:rowOff>
        </xdr:from>
        <xdr:to>
          <xdr:col>12</xdr:col>
          <xdr:colOff>76200</xdr:colOff>
          <xdr:row>141</xdr:row>
          <xdr:rowOff>38100</xdr:rowOff>
        </xdr:to>
        <xdr:sp macro="" textlink="">
          <xdr:nvSpPr>
            <xdr:cNvPr id="15417" name="Check Box 57" hidden="1">
              <a:extLst>
                <a:ext uri="{63B3BB69-23CF-44E3-9099-C40C66FF867C}">
                  <a14:compatExt spid="_x0000_s15417"/>
                </a:ext>
                <a:ext uri="{FF2B5EF4-FFF2-40B4-BE49-F238E27FC236}">
                  <a16:creationId xmlns:a16="http://schemas.microsoft.com/office/drawing/2014/main" id="{00000000-0008-0000-0200-000039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0</xdr:col>
      <xdr:colOff>94288</xdr:colOff>
      <xdr:row>0</xdr:row>
      <xdr:rowOff>95250</xdr:rowOff>
    </xdr:from>
    <xdr:to>
      <xdr:col>3</xdr:col>
      <xdr:colOff>36613</xdr:colOff>
      <xdr:row>4</xdr:row>
      <xdr:rowOff>0</xdr:rowOff>
    </xdr:to>
    <xdr:pic>
      <xdr:nvPicPr>
        <xdr:cNvPr id="34" name="Image 33" descr="CHUlogoQ">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288" y="95250"/>
          <a:ext cx="22283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104775</xdr:colOff>
      <xdr:row>0</xdr:row>
      <xdr:rowOff>95250</xdr:rowOff>
    </xdr:from>
    <xdr:to>
      <xdr:col>1</xdr:col>
      <xdr:colOff>37575</xdr:colOff>
      <xdr:row>5</xdr:row>
      <xdr:rowOff>47625</xdr:rowOff>
    </xdr:to>
    <xdr:pic>
      <xdr:nvPicPr>
        <xdr:cNvPr id="4" name="Image 3" descr="CHUlogoQ">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95250"/>
          <a:ext cx="22283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6</xdr:col>
      <xdr:colOff>9526</xdr:colOff>
      <xdr:row>7</xdr:row>
      <xdr:rowOff>311151</xdr:rowOff>
    </xdr:from>
    <xdr:to>
      <xdr:col>10</xdr:col>
      <xdr:colOff>314326</xdr:colOff>
      <xdr:row>17</xdr:row>
      <xdr:rowOff>57151</xdr:rowOff>
    </xdr:to>
    <xdr:graphicFrame macro="">
      <xdr:nvGraphicFramePr>
        <xdr:cNvPr id="2" name="Graphique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114300</xdr:colOff>
      <xdr:row>0</xdr:row>
      <xdr:rowOff>152400</xdr:rowOff>
    </xdr:from>
    <xdr:to>
      <xdr:col>0</xdr:col>
      <xdr:colOff>2342625</xdr:colOff>
      <xdr:row>5</xdr:row>
      <xdr:rowOff>104775</xdr:rowOff>
    </xdr:to>
    <xdr:pic>
      <xdr:nvPicPr>
        <xdr:cNvPr id="6" name="Image 5" descr="CHUlogoQ">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300" y="152400"/>
          <a:ext cx="22283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95250</xdr:colOff>
      <xdr:row>1</xdr:row>
      <xdr:rowOff>0</xdr:rowOff>
    </xdr:from>
    <xdr:to>
      <xdr:col>1</xdr:col>
      <xdr:colOff>1561575</xdr:colOff>
      <xdr:row>5</xdr:row>
      <xdr:rowOff>142875</xdr:rowOff>
    </xdr:to>
    <xdr:pic>
      <xdr:nvPicPr>
        <xdr:cNvPr id="4" name="Image 3" descr="CHUlogoQ">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190500"/>
          <a:ext cx="22283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152400</xdr:colOff>
      <xdr:row>0</xdr:row>
      <xdr:rowOff>133350</xdr:rowOff>
    </xdr:from>
    <xdr:to>
      <xdr:col>1</xdr:col>
      <xdr:colOff>1313925</xdr:colOff>
      <xdr:row>5</xdr:row>
      <xdr:rowOff>85725</xdr:rowOff>
    </xdr:to>
    <xdr:pic>
      <xdr:nvPicPr>
        <xdr:cNvPr id="4" name="Image 3" descr="CHUlogoQ">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33350"/>
          <a:ext cx="22283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200025</xdr:colOff>
      <xdr:row>0</xdr:row>
      <xdr:rowOff>114300</xdr:rowOff>
    </xdr:from>
    <xdr:to>
      <xdr:col>0</xdr:col>
      <xdr:colOff>2428350</xdr:colOff>
      <xdr:row>5</xdr:row>
      <xdr:rowOff>66675</xdr:rowOff>
    </xdr:to>
    <xdr:pic>
      <xdr:nvPicPr>
        <xdr:cNvPr id="4" name="Image 3" descr="CHUlogoQ">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0025" y="114300"/>
          <a:ext cx="22283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209550</xdr:colOff>
      <xdr:row>1</xdr:row>
      <xdr:rowOff>85725</xdr:rowOff>
    </xdr:from>
    <xdr:to>
      <xdr:col>1</xdr:col>
      <xdr:colOff>466200</xdr:colOff>
      <xdr:row>4</xdr:row>
      <xdr:rowOff>133350</xdr:rowOff>
    </xdr:to>
    <xdr:pic>
      <xdr:nvPicPr>
        <xdr:cNvPr id="4" name="Image 3" descr="CHUlogoQ">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550" y="276225"/>
          <a:ext cx="22283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104775</xdr:colOff>
      <xdr:row>0</xdr:row>
      <xdr:rowOff>152400</xdr:rowOff>
    </xdr:from>
    <xdr:to>
      <xdr:col>1</xdr:col>
      <xdr:colOff>94725</xdr:colOff>
      <xdr:row>5</xdr:row>
      <xdr:rowOff>104775</xdr:rowOff>
    </xdr:to>
    <xdr:pic>
      <xdr:nvPicPr>
        <xdr:cNvPr id="4" name="Image 3" descr="CHUlogoQ">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52400"/>
          <a:ext cx="22283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703619</xdr:colOff>
      <xdr:row>38</xdr:row>
      <xdr:rowOff>141952</xdr:rowOff>
    </xdr:to>
    <xdr:pic>
      <xdr:nvPicPr>
        <xdr:cNvPr id="2" name="Imag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0" y="0"/>
          <a:ext cx="9847619" cy="738095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9</xdr:col>
      <xdr:colOff>342900</xdr:colOff>
      <xdr:row>28</xdr:row>
      <xdr:rowOff>68580</xdr:rowOff>
    </xdr:from>
    <xdr:to>
      <xdr:col>9</xdr:col>
      <xdr:colOff>556260</xdr:colOff>
      <xdr:row>31</xdr:row>
      <xdr:rowOff>175260</xdr:rowOff>
    </xdr:to>
    <xdr:sp macro="" textlink="">
      <xdr:nvSpPr>
        <xdr:cNvPr id="2" name="Accolade fermante 1">
          <a:extLst>
            <a:ext uri="{FF2B5EF4-FFF2-40B4-BE49-F238E27FC236}">
              <a16:creationId xmlns:a16="http://schemas.microsoft.com/office/drawing/2014/main" id="{00000000-0008-0000-0D00-000002000000}"/>
            </a:ext>
          </a:extLst>
        </xdr:cNvPr>
        <xdr:cNvSpPr/>
      </xdr:nvSpPr>
      <xdr:spPr>
        <a:xfrm>
          <a:off x="8663940" y="5372100"/>
          <a:ext cx="213360" cy="655320"/>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F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7</xdr:col>
      <xdr:colOff>878416</xdr:colOff>
      <xdr:row>64</xdr:row>
      <xdr:rowOff>42333</xdr:rowOff>
    </xdr:from>
    <xdr:to>
      <xdr:col>9</xdr:col>
      <xdr:colOff>412750</xdr:colOff>
      <xdr:row>67</xdr:row>
      <xdr:rowOff>52917</xdr:rowOff>
    </xdr:to>
    <xdr:sp macro="" textlink="">
      <xdr:nvSpPr>
        <xdr:cNvPr id="2" name="ZoneTexte 1">
          <a:extLst>
            <a:ext uri="{FF2B5EF4-FFF2-40B4-BE49-F238E27FC236}">
              <a16:creationId xmlns:a16="http://schemas.microsoft.com/office/drawing/2014/main" id="{00000000-0008-0000-1100-000002000000}"/>
            </a:ext>
          </a:extLst>
        </xdr:cNvPr>
        <xdr:cNvSpPr txBox="1"/>
      </xdr:nvSpPr>
      <xdr:spPr>
        <a:xfrm>
          <a:off x="11089216" y="11845713"/>
          <a:ext cx="2818554" cy="559224"/>
        </a:xfrm>
        <a:prstGeom prst="rect">
          <a:avLst/>
        </a:prstGeom>
        <a:solidFill>
          <a:schemeClr val="lt1"/>
        </a:solidFill>
        <a:ln w="4445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100" b="1">
              <a:solidFill>
                <a:srgbClr val="FF0000"/>
              </a:solidFill>
            </a:rPr>
            <a:t>économie de 336156,52 euros</a:t>
          </a:r>
        </a:p>
        <a:p>
          <a:pPr algn="ctr"/>
          <a:r>
            <a:rPr lang="fr-FR" sz="1100" b="1">
              <a:solidFill>
                <a:srgbClr val="FF0000"/>
              </a:solidFill>
            </a:rPr>
            <a:t>(si NGS</a:t>
          </a:r>
          <a:r>
            <a:rPr lang="fr-FR" sz="1100" b="1" baseline="0">
              <a:solidFill>
                <a:srgbClr val="FF0000"/>
              </a:solidFill>
            </a:rPr>
            <a:t> panel maison et bioinfo local)</a:t>
          </a:r>
          <a:endParaRPr lang="fr-FR" sz="1100" b="1">
            <a:solidFill>
              <a:srgbClr val="FF0000"/>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7</xdr:col>
      <xdr:colOff>878416</xdr:colOff>
      <xdr:row>50</xdr:row>
      <xdr:rowOff>42333</xdr:rowOff>
    </xdr:from>
    <xdr:to>
      <xdr:col>9</xdr:col>
      <xdr:colOff>412750</xdr:colOff>
      <xdr:row>53</xdr:row>
      <xdr:rowOff>52917</xdr:rowOff>
    </xdr:to>
    <xdr:sp macro="" textlink="">
      <xdr:nvSpPr>
        <xdr:cNvPr id="2" name="ZoneTexte 1">
          <a:extLst>
            <a:ext uri="{FF2B5EF4-FFF2-40B4-BE49-F238E27FC236}">
              <a16:creationId xmlns:a16="http://schemas.microsoft.com/office/drawing/2014/main" id="{00000000-0008-0000-1300-000002000000}"/>
            </a:ext>
          </a:extLst>
        </xdr:cNvPr>
        <xdr:cNvSpPr txBox="1"/>
      </xdr:nvSpPr>
      <xdr:spPr>
        <a:xfrm>
          <a:off x="11089216" y="9277773"/>
          <a:ext cx="2925234" cy="559224"/>
        </a:xfrm>
        <a:prstGeom prst="rect">
          <a:avLst/>
        </a:prstGeom>
        <a:solidFill>
          <a:schemeClr val="lt1"/>
        </a:solidFill>
        <a:ln w="4445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100" b="1">
              <a:solidFill>
                <a:srgbClr val="FF0000"/>
              </a:solidFill>
            </a:rPr>
            <a:t>économie de 304041,18 euros</a:t>
          </a:r>
        </a:p>
        <a:p>
          <a:pPr algn="ctr"/>
          <a:r>
            <a:rPr lang="fr-FR" sz="1100" b="1">
              <a:solidFill>
                <a:srgbClr val="FF0000"/>
              </a:solidFill>
            </a:rPr>
            <a:t>(si NGS</a:t>
          </a:r>
          <a:r>
            <a:rPr lang="fr-FR" sz="1100" b="1" baseline="0">
              <a:solidFill>
                <a:srgbClr val="FF0000"/>
              </a:solidFill>
            </a:rPr>
            <a:t> commercial panel +bioinfo)</a:t>
          </a:r>
          <a:endParaRPr lang="fr-FR" sz="1100" b="1">
            <a:solidFill>
              <a:srgbClr val="FF0000"/>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7</xdr:col>
      <xdr:colOff>878416</xdr:colOff>
      <xdr:row>50</xdr:row>
      <xdr:rowOff>42333</xdr:rowOff>
    </xdr:from>
    <xdr:to>
      <xdr:col>9</xdr:col>
      <xdr:colOff>412750</xdr:colOff>
      <xdr:row>53</xdr:row>
      <xdr:rowOff>52917</xdr:rowOff>
    </xdr:to>
    <xdr:sp macro="" textlink="">
      <xdr:nvSpPr>
        <xdr:cNvPr id="2" name="ZoneTexte 1">
          <a:extLst>
            <a:ext uri="{FF2B5EF4-FFF2-40B4-BE49-F238E27FC236}">
              <a16:creationId xmlns:a16="http://schemas.microsoft.com/office/drawing/2014/main" id="{00000000-0008-0000-1600-000002000000}"/>
            </a:ext>
          </a:extLst>
        </xdr:cNvPr>
        <xdr:cNvSpPr txBox="1"/>
      </xdr:nvSpPr>
      <xdr:spPr>
        <a:xfrm>
          <a:off x="11089216" y="9277773"/>
          <a:ext cx="2925234" cy="559224"/>
        </a:xfrm>
        <a:prstGeom prst="rect">
          <a:avLst/>
        </a:prstGeom>
        <a:solidFill>
          <a:schemeClr val="lt1"/>
        </a:solidFill>
        <a:ln w="4445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100" b="1">
              <a:solidFill>
                <a:srgbClr val="FF0000"/>
              </a:solidFill>
            </a:rPr>
            <a:t>économie de 304041,18 euros</a:t>
          </a:r>
        </a:p>
        <a:p>
          <a:pPr algn="ctr"/>
          <a:r>
            <a:rPr lang="fr-FR" sz="1100" b="1">
              <a:solidFill>
                <a:srgbClr val="FF0000"/>
              </a:solidFill>
            </a:rPr>
            <a:t>(si NGS</a:t>
          </a:r>
          <a:r>
            <a:rPr lang="fr-FR" sz="1100" b="1" baseline="0">
              <a:solidFill>
                <a:srgbClr val="FF0000"/>
              </a:solidFill>
            </a:rPr>
            <a:t> commercial panel +bioinfo)</a:t>
          </a:r>
          <a:endParaRPr lang="fr-FR" sz="1100" b="1">
            <a:solidFill>
              <a:srgbClr val="FF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165527/AppData/Local/Microsoft/Windows/INetCache/Content.Outlook/PP20WZ3U/Fiche%20Projet%20CHU%20NEPHRO%20NORD%20phase%201%20C2%20V17%20%20YCKS%2011202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hu.run/home/106143/Documents/POLE%20BIOLOGIE/PROJETS/2021/Biologie%20mol&#233;culaire/MP%20Fiche%20Projet%20CHU%20mod&#232;le%202021v2-2-LZ.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120427/OneDrive/Documents/Projet%20NGS/Fiche%20Projet%20NGS%20oncoHe&#769;mato%20v%2020221031%20PMU%20(verif%20facturation%20activite&#769;).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CONTROLE_DE_GESTION_CHR/DONNEES/FICHSUP/2021/FichiersIMPORT/import_cum122021G59%20HNPRODok.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RESUME"/>
      <sheetName val="1- Avant Projet"/>
      <sheetName val="2- SYNTHESE FIN"/>
      <sheetName val="2.1 INVEST"/>
      <sheetName val="Calculateur de prêt"/>
      <sheetName val="2.2 ACTIVITE RECETTES"/>
      <sheetName val="2.3 RH"/>
      <sheetName val="matrice PNM"/>
      <sheetName val="2.4 Dep Med et MDT"/>
      <sheetName val="2.5 T3 Dep hot et induites"/>
      <sheetName val="3- EVALUATION"/>
      <sheetName val="CYCLE PROJET"/>
      <sheetName val="cout RH"/>
      <sheetName val="Présentation AP"/>
      <sheetName val="Listes déroulantes"/>
      <sheetName val="Cout par Jr HC"/>
      <sheetName val="Charges indirectes"/>
      <sheetName val="Charges directes"/>
    </sheetNames>
    <sheetDataSet>
      <sheetData sheetId="0"/>
      <sheetData sheetId="1"/>
      <sheetData sheetId="2">
        <row r="4">
          <cell r="M4" t="str">
            <v>P_21_00x</v>
          </cell>
        </row>
        <row r="106">
          <cell r="I106">
            <v>2024</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RESUME"/>
      <sheetName val="1- Avant Projet"/>
      <sheetName val="2- SYNTHESE FIN"/>
      <sheetName val="2.1 INVEST"/>
      <sheetName val="2.2 ACTIVITE RECETTES"/>
      <sheetName val="2.3 RH"/>
      <sheetName val="Maquette PM"/>
      <sheetName val="Maquette PNM"/>
      <sheetName val="2.4 Dep Med et MDT"/>
      <sheetName val="2.5 T3 Dep hot et induites"/>
      <sheetName val="3- EVALUATION"/>
      <sheetName val="CYCLE PROJET"/>
      <sheetName val="Valorisation"/>
      <sheetName val="Valorisation (2)"/>
      <sheetName val="cout RH"/>
      <sheetName val="NGS maison bioinfo local"/>
      <sheetName val="recap"/>
      <sheetName val="NGS commercial bioinfo external"/>
      <sheetName val="mail"/>
      <sheetName val="RIHN-SST"/>
      <sheetName val="Listes déroulantes"/>
      <sheetName val="Cout par Jr HC"/>
      <sheetName val="Charges indirectes"/>
      <sheetName val="Charges directes"/>
    </sheetNames>
    <sheetDataSet>
      <sheetData sheetId="0" refreshError="1"/>
      <sheetData sheetId="1" refreshError="1"/>
      <sheetData sheetId="2">
        <row r="4">
          <cell r="M4" t="str">
            <v>P_21_00x</v>
          </cell>
        </row>
        <row r="96">
          <cell r="I96">
            <v>2023</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RESUME"/>
      <sheetName val="1- Avant Projet"/>
      <sheetName val="2- SYNTHESE FIN"/>
      <sheetName val="2.1 INVEST"/>
      <sheetName val="2.2 ACTIVITE RECETTES"/>
      <sheetName val="2.3 RH"/>
      <sheetName val="Maquette PM"/>
      <sheetName val="Maquette PNM"/>
      <sheetName val="2.4 Dep Med et MDT"/>
      <sheetName val="2.5 T3 Dep hot et induites"/>
      <sheetName val="3- EVALUATION"/>
      <sheetName val="CYCLE PROJET"/>
      <sheetName val="NGS Projet recap financier"/>
      <sheetName val="Valorisation"/>
      <sheetName val="NGS maison bioinfo local"/>
      <sheetName val="recap"/>
      <sheetName val="NGS commercial bioinfo external"/>
      <sheetName val="mail"/>
      <sheetName val="RIHN-SST"/>
      <sheetName val="Listes déroulantes"/>
      <sheetName val="Cout par Jr HC"/>
      <sheetName val="Charges indirectes"/>
      <sheetName val="Charges directes"/>
    </sheetNames>
    <sheetDataSet>
      <sheetData sheetId="0" refreshError="1"/>
      <sheetData sheetId="1" refreshError="1"/>
      <sheetData sheetId="2">
        <row r="4">
          <cell r="M4" t="str">
            <v>P_21_00x</v>
          </cell>
        </row>
        <row r="96">
          <cell r="I96">
            <v>2023</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IHN2021"/>
      <sheetName val="1-production"/>
      <sheetName val="1-prepaformatG59 prod"/>
      <sheetName val="2-facturation"/>
      <sheetName val="3-prod+fact"/>
      <sheetName val="3-2actes factures pas prod"/>
      <sheetName val="4-import_cum122021"/>
      <sheetName val="Liste finess  non reconnus"/>
      <sheetName val="5-2-final import G59"/>
      <sheetName val="Login importko"/>
      <sheetName val="5-2-final import G59-2"/>
      <sheetName val="Login import2ko"/>
      <sheetName val="5-2-final import G59-3"/>
      <sheetName val="Login import3ok"/>
      <sheetName val="2018v1comparaison facturé_epmsi"/>
      <sheetName val="export"/>
      <sheetName val="question LL"/>
    </sheetNames>
    <sheetDataSet>
      <sheetData sheetId="0"/>
      <sheetData sheetId="1"/>
      <sheetData sheetId="2"/>
      <sheetData sheetId="3"/>
      <sheetData sheetId="4"/>
      <sheetData sheetId="5"/>
      <sheetData sheetId="6"/>
      <sheetData sheetId="7">
        <row r="1">
          <cell r="D1" t="str">
            <v>Liste des finess non importés</v>
          </cell>
        </row>
        <row r="2">
          <cell r="D2">
            <v>0</v>
          </cell>
        </row>
        <row r="3">
          <cell r="D3" t="str">
            <v>970402640</v>
          </cell>
          <cell r="E3" t="str">
            <v xml:space="preserve">finess EFS remplacé par 999999999 </v>
          </cell>
        </row>
        <row r="4">
          <cell r="D4" t="str">
            <v>970409991</v>
          </cell>
          <cell r="E4" t="str">
            <v xml:space="preserve">finess AURAR ou LE CHARMOY (970409991)remplacé par 999999999 </v>
          </cell>
        </row>
        <row r="5">
          <cell r="D5" t="str">
            <v>350010021</v>
          </cell>
          <cell r="E5" t="str">
            <v xml:space="preserve">finess EFS RENNES - LABORATOIRE HLA ()remplacé par 999999999 </v>
          </cell>
        </row>
        <row r="6">
          <cell r="D6" t="str">
            <v>970403697</v>
          </cell>
          <cell r="E6" t="str">
            <v xml:space="preserve">finess AURAR ou LE CHARMOY (970409991)remplacé par 999999999 </v>
          </cell>
        </row>
        <row r="7">
          <cell r="D7" t="str">
            <v>310025523</v>
          </cell>
          <cell r="E7" t="str">
            <v>IUCT-ONCOPOLE</v>
          </cell>
        </row>
        <row r="8">
          <cell r="D8" t="str">
            <v>010008126</v>
          </cell>
          <cell r="E8" t="str">
            <v>EFS Rhône-Alpes - Labo HLA</v>
          </cell>
        </row>
        <row r="9">
          <cell r="D9" t="str">
            <v>970406674</v>
          </cell>
          <cell r="E9" t="str">
            <v>FONDATION PERE FAVRON</v>
          </cell>
        </row>
      </sheetData>
      <sheetData sheetId="8"/>
      <sheetData sheetId="9"/>
      <sheetData sheetId="10"/>
      <sheetData sheetId="11"/>
      <sheetData sheetId="12"/>
      <sheetData sheetId="13"/>
      <sheetData sheetId="14"/>
      <sheetData sheetId="15"/>
      <sheetData sheetId="1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Prêt" displayName="Prêt" ref="B12:H372" dataDxfId="9" tableBorderDxfId="8">
  <autoFilter ref="B12:H372" xr:uid="{00000000-0009-0000-0100-000001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000-000001000000}" name="N°" totalsRowLabel="Total" dataDxfId="7">
      <calculatedColumnFormula>IFERROR(IF(Prêt_Non_Payé*Valeurs_Entrées,Numéro_Paiement,""), "")</calculatedColumnFormula>
    </tableColumn>
    <tableColumn id="2" xr3:uid="{00000000-0010-0000-0000-000002000000}" name="Paiement_x000a_Date" totalsRowDxfId="6" dataCellStyle="Date">
      <calculatedColumnFormula>IFERROR(IF(Prêt_Non_Payé*Valeurs_Entrées,Date_Paiement,""), "")</calculatedColumnFormula>
    </tableColumn>
    <tableColumn id="3" xr3:uid="{00000000-0010-0000-0000-000003000000}" name="Début_x000a_Solde" totalsRowDxfId="5">
      <calculatedColumnFormula>IFERROR(IF(Prêt_Non_Payé*Valeurs_Entrées,Solde_Départ,""), "")</calculatedColumnFormula>
    </tableColumn>
    <tableColumn id="4" xr3:uid="{00000000-0010-0000-0000-000004000000}" name="Paiement" totalsRowDxfId="4">
      <calculatedColumnFormula>IFERROR(IF(Prêt_Non_Payé*Valeurs_Entrées,Mensualité,""), "")</calculatedColumnFormula>
    </tableColumn>
    <tableColumn id="5" xr3:uid="{00000000-0010-0000-0000-000005000000}" name="Capital" totalsRowDxfId="3">
      <calculatedColumnFormula>IFERROR(IF(Prêt_Non_Payé*Valeurs_Entrées,Capital,""), "")</calculatedColumnFormula>
    </tableColumn>
    <tableColumn id="6" xr3:uid="{00000000-0010-0000-0000-000006000000}" name="Intérêts" totalsRowDxfId="2">
      <calculatedColumnFormula>IFERROR(IF(Prêt_Non_Payé*Valeurs_Entrées,Intérêts,""), "")</calculatedColumnFormula>
    </tableColumn>
    <tableColumn id="7" xr3:uid="{00000000-0010-0000-0000-000007000000}" name="Fin_x000a_Solde" totalsRowFunction="count" totalsRowDxfId="1">
      <calculatedColumnFormula>IFERROR(IF(Prêt_Non_Payé*Valeurs_Entrées,Solde_Final,""), "")</calculatedColumnFormula>
    </tableColumn>
  </tableColumns>
  <tableStyleInfo showFirstColumn="0" showLastColumn="0" showRowStripes="1" showColumnStripes="0"/>
  <extLst>
    <ext xmlns:x14="http://schemas.microsoft.com/office/spreadsheetml/2009/9/main" uri="{504A1905-F514-4f6f-8877-14C23A59335A}">
      <x14:table altTextSummary="Suivez le numéro de paiement, la date de paiement, le solde de départ, le paiement, le capital, le montant des intérêts et le solde final."/>
    </ext>
  </extLst>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2.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3.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8"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dimension ref="A1"/>
  <sheetViews>
    <sheetView workbookViewId="0"/>
  </sheetViews>
  <sheetFormatPr baseColWidth="10" defaultRowHeight="15" x14ac:dyDescent="0.2"/>
  <cols>
    <col min="6" max="6" width="11.83203125" customWidth="1"/>
    <col min="7" max="8" width="10.5" customWidth="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4">
    <tabColor theme="4"/>
    <pageSetUpPr fitToPage="1"/>
  </sheetPr>
  <dimension ref="A2:M92"/>
  <sheetViews>
    <sheetView topLeftCell="A68" workbookViewId="0">
      <selection activeCell="F82" sqref="F82"/>
    </sheetView>
  </sheetViews>
  <sheetFormatPr baseColWidth="10" defaultRowHeight="15" x14ac:dyDescent="0.2"/>
  <cols>
    <col min="1" max="1" width="13" customWidth="1"/>
    <col min="6" max="7" width="16.1640625" bestFit="1" customWidth="1"/>
    <col min="8" max="10" width="17.6640625" bestFit="1" customWidth="1"/>
    <col min="11" max="11" width="3.83203125" customWidth="1"/>
    <col min="12" max="12" width="3.6640625" customWidth="1"/>
    <col min="13" max="13" width="3.1640625" customWidth="1"/>
  </cols>
  <sheetData>
    <row r="2" spans="1:13" ht="33.75" customHeight="1" x14ac:dyDescent="0.2">
      <c r="E2" s="695" t="s">
        <v>534</v>
      </c>
      <c r="F2" s="695"/>
      <c r="G2" s="695"/>
      <c r="H2" s="695"/>
      <c r="I2" s="695"/>
      <c r="J2" s="695"/>
      <c r="K2" s="695"/>
      <c r="L2" s="695"/>
      <c r="M2" s="695"/>
    </row>
    <row r="3" spans="1:13" ht="33" x14ac:dyDescent="0.2">
      <c r="E3" s="120"/>
      <c r="F3" s="119"/>
      <c r="G3" s="119"/>
      <c r="H3" s="119"/>
      <c r="I3" s="119"/>
      <c r="J3" s="119"/>
      <c r="K3" s="119"/>
    </row>
    <row r="4" spans="1:13" ht="19" x14ac:dyDescent="0.25">
      <c r="E4" s="218" t="s">
        <v>245</v>
      </c>
      <c r="G4" s="696"/>
      <c r="H4" s="696"/>
      <c r="J4" s="155" t="s">
        <v>524</v>
      </c>
      <c r="K4" s="275" t="str">
        <f>+Cod_projet</f>
        <v>P_21_00x</v>
      </c>
      <c r="L4" s="219"/>
      <c r="M4" s="219"/>
    </row>
    <row r="6" spans="1:13" ht="45.5" customHeight="1" x14ac:dyDescent="0.2">
      <c r="A6" s="697" t="s">
        <v>242</v>
      </c>
      <c r="B6" s="697"/>
      <c r="C6" s="697"/>
      <c r="D6" s="697"/>
      <c r="E6" s="697"/>
      <c r="F6" s="697"/>
      <c r="G6" s="698" t="s">
        <v>1343</v>
      </c>
      <c r="H6" s="698"/>
      <c r="I6" s="698"/>
      <c r="J6" s="698"/>
      <c r="K6" s="698"/>
      <c r="L6" s="698"/>
      <c r="M6" s="698"/>
    </row>
    <row r="8" spans="1:13" x14ac:dyDescent="0.2">
      <c r="F8" s="68"/>
    </row>
    <row r="9" spans="1:13" ht="33" x14ac:dyDescent="0.2">
      <c r="A9" s="695" t="s">
        <v>246</v>
      </c>
      <c r="B9" s="695"/>
      <c r="C9" s="695"/>
      <c r="D9" s="695"/>
      <c r="E9" s="695"/>
      <c r="F9" s="695"/>
      <c r="G9" s="695"/>
      <c r="H9" s="695"/>
      <c r="I9" s="695"/>
      <c r="J9" s="695"/>
      <c r="K9" s="695"/>
      <c r="L9" s="695"/>
      <c r="M9" s="695"/>
    </row>
    <row r="10" spans="1:13" x14ac:dyDescent="0.2">
      <c r="B10" s="125"/>
    </row>
    <row r="11" spans="1:13" x14ac:dyDescent="0.2">
      <c r="A11" s="63"/>
      <c r="D11" s="123" t="s">
        <v>248</v>
      </c>
      <c r="E11" s="700" t="s">
        <v>249</v>
      </c>
      <c r="F11" s="700"/>
      <c r="G11" s="700"/>
      <c r="H11" s="700" t="s">
        <v>250</v>
      </c>
      <c r="I11" s="700"/>
      <c r="J11" s="700"/>
      <c r="K11" s="700"/>
      <c r="L11" s="700"/>
      <c r="M11" s="700"/>
    </row>
    <row r="12" spans="1:13" x14ac:dyDescent="0.2">
      <c r="A12" s="699" t="s">
        <v>247</v>
      </c>
      <c r="B12" s="699"/>
      <c r="C12" s="699"/>
      <c r="D12" s="281" t="str">
        <f>IF(+'1- Avant Projet'!D148=0,"")</f>
        <v/>
      </c>
      <c r="E12" s="701" t="str">
        <f>IF(+'1- Avant Projet'!E148=0,"")</f>
        <v/>
      </c>
      <c r="F12" s="701"/>
      <c r="G12" s="701"/>
      <c r="H12" s="701" t="str">
        <f>IF(+'1- Avant Projet'!H148=0,"")</f>
        <v/>
      </c>
      <c r="I12" s="701"/>
      <c r="J12" s="701"/>
      <c r="K12" s="701"/>
      <c r="L12" s="701"/>
      <c r="M12" s="701"/>
    </row>
    <row r="13" spans="1:13" ht="30" customHeight="1" x14ac:dyDescent="0.2">
      <c r="A13" s="702" t="s">
        <v>540</v>
      </c>
      <c r="B13" s="702"/>
      <c r="C13" s="702"/>
      <c r="D13" s="281"/>
      <c r="E13" s="701"/>
      <c r="F13" s="701"/>
      <c r="G13" s="701"/>
      <c r="H13" s="701"/>
      <c r="I13" s="701"/>
      <c r="J13" s="701"/>
      <c r="K13" s="701"/>
      <c r="L13" s="701"/>
      <c r="M13" s="701"/>
    </row>
    <row r="15" spans="1:13" ht="33" x14ac:dyDescent="0.2">
      <c r="A15" s="695" t="s">
        <v>243</v>
      </c>
      <c r="B15" s="695"/>
      <c r="C15" s="695"/>
      <c r="D15" s="695"/>
      <c r="E15" s="695"/>
      <c r="F15" s="695"/>
      <c r="G15" s="695"/>
      <c r="H15" s="695"/>
      <c r="I15" s="695"/>
      <c r="J15" s="695"/>
      <c r="K15" s="695"/>
      <c r="L15" s="695"/>
      <c r="M15" s="695"/>
    </row>
    <row r="17" spans="1:13" x14ac:dyDescent="0.2">
      <c r="A17" s="211" t="s">
        <v>505</v>
      </c>
      <c r="D17" s="712" t="s">
        <v>1204</v>
      </c>
      <c r="E17" s="713"/>
      <c r="F17" s="713"/>
      <c r="G17" s="713"/>
      <c r="H17" s="713"/>
      <c r="I17" s="713"/>
      <c r="J17" s="713"/>
      <c r="K17" s="713"/>
      <c r="L17" s="713"/>
      <c r="M17" s="714"/>
    </row>
    <row r="19" spans="1:13" x14ac:dyDescent="0.2">
      <c r="A19" s="212" t="s">
        <v>506</v>
      </c>
      <c r="D19" s="712" t="s">
        <v>1205</v>
      </c>
      <c r="E19" s="713"/>
      <c r="F19" s="713"/>
      <c r="G19" s="713"/>
      <c r="H19" s="713"/>
      <c r="I19" s="713"/>
      <c r="J19" s="713"/>
      <c r="K19" s="713"/>
      <c r="L19" s="713"/>
      <c r="M19" s="714"/>
    </row>
    <row r="21" spans="1:13" x14ac:dyDescent="0.2">
      <c r="A21" s="212" t="s">
        <v>504</v>
      </c>
      <c r="D21" s="715" t="str">
        <f>+'1- Avant Projet'!D15</f>
        <v>PLATEFORME DE SEQUANCAGE INTER-SERVICE/SERVICE DE GENETIQUE</v>
      </c>
      <c r="E21" s="716"/>
      <c r="F21" s="716"/>
      <c r="G21" s="716"/>
      <c r="H21" s="716"/>
      <c r="I21" s="716"/>
      <c r="J21" s="716"/>
      <c r="K21" s="716"/>
      <c r="L21" s="716"/>
      <c r="M21" s="717"/>
    </row>
    <row r="23" spans="1:13" ht="33" x14ac:dyDescent="0.2">
      <c r="A23" s="695" t="s">
        <v>255</v>
      </c>
      <c r="B23" s="695"/>
      <c r="C23" s="695"/>
      <c r="D23" s="695"/>
      <c r="E23" s="695"/>
      <c r="F23" s="695"/>
      <c r="G23" s="695"/>
      <c r="H23" s="695"/>
      <c r="I23" s="695"/>
      <c r="J23" s="695"/>
      <c r="K23" s="695"/>
      <c r="L23" s="695"/>
      <c r="M23" s="695"/>
    </row>
    <row r="24" spans="1:13" x14ac:dyDescent="0.2">
      <c r="A24" s="215"/>
    </row>
    <row r="25" spans="1:13" x14ac:dyDescent="0.2">
      <c r="A25" s="126"/>
      <c r="E25" s="126"/>
      <c r="J25" s="126"/>
    </row>
    <row r="26" spans="1:13" x14ac:dyDescent="0.2">
      <c r="A26" s="126"/>
      <c r="E26" s="126"/>
      <c r="J26" s="727"/>
      <c r="K26" s="727"/>
      <c r="L26" s="727"/>
    </row>
    <row r="28" spans="1:13" x14ac:dyDescent="0.2">
      <c r="A28" s="63"/>
    </row>
    <row r="29" spans="1:13" x14ac:dyDescent="0.2">
      <c r="A29" s="126"/>
      <c r="E29" s="126"/>
      <c r="J29" s="126"/>
    </row>
    <row r="30" spans="1:13" x14ac:dyDescent="0.2">
      <c r="A30" s="126"/>
      <c r="E30" s="126"/>
      <c r="J30" s="126"/>
    </row>
    <row r="31" spans="1:13" x14ac:dyDescent="0.2">
      <c r="A31" s="126"/>
      <c r="E31" s="126"/>
      <c r="J31" s="126"/>
    </row>
    <row r="32" spans="1:13" ht="33" x14ac:dyDescent="0.2">
      <c r="A32" s="695" t="s">
        <v>267</v>
      </c>
      <c r="B32" s="695"/>
      <c r="C32" s="695"/>
      <c r="D32" s="695"/>
      <c r="E32" s="695"/>
      <c r="F32" s="695"/>
      <c r="G32" s="695"/>
      <c r="H32" s="695"/>
      <c r="I32" s="695"/>
      <c r="J32" s="695"/>
      <c r="K32" s="695"/>
      <c r="L32" s="695"/>
      <c r="M32" s="695"/>
    </row>
    <row r="33" spans="1:13" ht="21" customHeight="1" x14ac:dyDescent="0.2">
      <c r="A33" s="214" t="s">
        <v>508</v>
      </c>
    </row>
    <row r="34" spans="1:13" x14ac:dyDescent="0.2">
      <c r="A34" s="703" t="s">
        <v>1227</v>
      </c>
      <c r="B34" s="704"/>
      <c r="C34" s="704"/>
      <c r="D34" s="704"/>
      <c r="E34" s="704"/>
      <c r="F34" s="704"/>
      <c r="G34" s="704"/>
      <c r="H34" s="704"/>
      <c r="I34" s="704"/>
      <c r="J34" s="704"/>
      <c r="K34" s="704"/>
      <c r="L34" s="704"/>
      <c r="M34" s="705"/>
    </row>
    <row r="35" spans="1:13" x14ac:dyDescent="0.2">
      <c r="A35" s="706"/>
      <c r="B35" s="707"/>
      <c r="C35" s="707"/>
      <c r="D35" s="707"/>
      <c r="E35" s="707"/>
      <c r="F35" s="707"/>
      <c r="G35" s="707"/>
      <c r="H35" s="707"/>
      <c r="I35" s="707"/>
      <c r="J35" s="707"/>
      <c r="K35" s="707"/>
      <c r="L35" s="707"/>
      <c r="M35" s="708"/>
    </row>
    <row r="36" spans="1:13" x14ac:dyDescent="0.2">
      <c r="A36" s="706"/>
      <c r="B36" s="707"/>
      <c r="C36" s="707"/>
      <c r="D36" s="707"/>
      <c r="E36" s="707"/>
      <c r="F36" s="707"/>
      <c r="G36" s="707"/>
      <c r="H36" s="707"/>
      <c r="I36" s="707"/>
      <c r="J36" s="707"/>
      <c r="K36" s="707"/>
      <c r="L36" s="707"/>
      <c r="M36" s="708"/>
    </row>
    <row r="37" spans="1:13" x14ac:dyDescent="0.2">
      <c r="A37" s="706"/>
      <c r="B37" s="707"/>
      <c r="C37" s="707"/>
      <c r="D37" s="707"/>
      <c r="E37" s="707"/>
      <c r="F37" s="707"/>
      <c r="G37" s="707"/>
      <c r="H37" s="707"/>
      <c r="I37" s="707"/>
      <c r="J37" s="707"/>
      <c r="K37" s="707"/>
      <c r="L37" s="707"/>
      <c r="M37" s="708"/>
    </row>
    <row r="38" spans="1:13" x14ac:dyDescent="0.2">
      <c r="A38" s="706"/>
      <c r="B38" s="707"/>
      <c r="C38" s="707"/>
      <c r="D38" s="707"/>
      <c r="E38" s="707"/>
      <c r="F38" s="707"/>
      <c r="G38" s="707"/>
      <c r="H38" s="707"/>
      <c r="I38" s="707"/>
      <c r="J38" s="707"/>
      <c r="K38" s="707"/>
      <c r="L38" s="707"/>
      <c r="M38" s="708"/>
    </row>
    <row r="39" spans="1:13" x14ac:dyDescent="0.2">
      <c r="A39" s="706"/>
      <c r="B39" s="707"/>
      <c r="C39" s="707"/>
      <c r="D39" s="707"/>
      <c r="E39" s="707"/>
      <c r="F39" s="707"/>
      <c r="G39" s="707"/>
      <c r="H39" s="707"/>
      <c r="I39" s="707"/>
      <c r="J39" s="707"/>
      <c r="K39" s="707"/>
      <c r="L39" s="707"/>
      <c r="M39" s="708"/>
    </row>
    <row r="40" spans="1:13" x14ac:dyDescent="0.2">
      <c r="A40" s="706"/>
      <c r="B40" s="707"/>
      <c r="C40" s="707"/>
      <c r="D40" s="707"/>
      <c r="E40" s="707"/>
      <c r="F40" s="707"/>
      <c r="G40" s="707"/>
      <c r="H40" s="707"/>
      <c r="I40" s="707"/>
      <c r="J40" s="707"/>
      <c r="K40" s="707"/>
      <c r="L40" s="707"/>
      <c r="M40" s="708"/>
    </row>
    <row r="41" spans="1:13" x14ac:dyDescent="0.2">
      <c r="A41" s="706"/>
      <c r="B41" s="707"/>
      <c r="C41" s="707"/>
      <c r="D41" s="707"/>
      <c r="E41" s="707"/>
      <c r="F41" s="707"/>
      <c r="G41" s="707"/>
      <c r="H41" s="707"/>
      <c r="I41" s="707"/>
      <c r="J41" s="707"/>
      <c r="K41" s="707"/>
      <c r="L41" s="707"/>
      <c r="M41" s="708"/>
    </row>
    <row r="42" spans="1:13" x14ac:dyDescent="0.2">
      <c r="A42" s="706"/>
      <c r="B42" s="707"/>
      <c r="C42" s="707"/>
      <c r="D42" s="707"/>
      <c r="E42" s="707"/>
      <c r="F42" s="707"/>
      <c r="G42" s="707"/>
      <c r="H42" s="707"/>
      <c r="I42" s="707"/>
      <c r="J42" s="707"/>
      <c r="K42" s="707"/>
      <c r="L42" s="707"/>
      <c r="M42" s="708"/>
    </row>
    <row r="43" spans="1:13" x14ac:dyDescent="0.2">
      <c r="A43" s="706"/>
      <c r="B43" s="707"/>
      <c r="C43" s="707"/>
      <c r="D43" s="707"/>
      <c r="E43" s="707"/>
      <c r="F43" s="707"/>
      <c r="G43" s="707"/>
      <c r="H43" s="707"/>
      <c r="I43" s="707"/>
      <c r="J43" s="707"/>
      <c r="K43" s="707"/>
      <c r="L43" s="707"/>
      <c r="M43" s="708"/>
    </row>
    <row r="44" spans="1:13" x14ac:dyDescent="0.2">
      <c r="A44" s="706"/>
      <c r="B44" s="707"/>
      <c r="C44" s="707"/>
      <c r="D44" s="707"/>
      <c r="E44" s="707"/>
      <c r="F44" s="707"/>
      <c r="G44" s="707"/>
      <c r="H44" s="707"/>
      <c r="I44" s="707"/>
      <c r="J44" s="707"/>
      <c r="K44" s="707"/>
      <c r="L44" s="707"/>
      <c r="M44" s="708"/>
    </row>
    <row r="45" spans="1:13" x14ac:dyDescent="0.2">
      <c r="A45" s="706"/>
      <c r="B45" s="707"/>
      <c r="C45" s="707"/>
      <c r="D45" s="707"/>
      <c r="E45" s="707"/>
      <c r="F45" s="707"/>
      <c r="G45" s="707"/>
      <c r="H45" s="707"/>
      <c r="I45" s="707"/>
      <c r="J45" s="707"/>
      <c r="K45" s="707"/>
      <c r="L45" s="707"/>
      <c r="M45" s="708"/>
    </row>
    <row r="46" spans="1:13" x14ac:dyDescent="0.2">
      <c r="A46" s="706"/>
      <c r="B46" s="707"/>
      <c r="C46" s="707"/>
      <c r="D46" s="707"/>
      <c r="E46" s="707"/>
      <c r="F46" s="707"/>
      <c r="G46" s="707"/>
      <c r="H46" s="707"/>
      <c r="I46" s="707"/>
      <c r="J46" s="707"/>
      <c r="K46" s="707"/>
      <c r="L46" s="707"/>
      <c r="M46" s="708"/>
    </row>
    <row r="47" spans="1:13" x14ac:dyDescent="0.2">
      <c r="A47" s="706"/>
      <c r="B47" s="707"/>
      <c r="C47" s="707"/>
      <c r="D47" s="707"/>
      <c r="E47" s="707"/>
      <c r="F47" s="707"/>
      <c r="G47" s="707"/>
      <c r="H47" s="707"/>
      <c r="I47" s="707"/>
      <c r="J47" s="707"/>
      <c r="K47" s="707"/>
      <c r="L47" s="707"/>
      <c r="M47" s="708"/>
    </row>
    <row r="48" spans="1:13" x14ac:dyDescent="0.2">
      <c r="A48" s="706"/>
      <c r="B48" s="707"/>
      <c r="C48" s="707"/>
      <c r="D48" s="707"/>
      <c r="E48" s="707"/>
      <c r="F48" s="707"/>
      <c r="G48" s="707"/>
      <c r="H48" s="707"/>
      <c r="I48" s="707"/>
      <c r="J48" s="707"/>
      <c r="K48" s="707"/>
      <c r="L48" s="707"/>
      <c r="M48" s="708"/>
    </row>
    <row r="49" spans="1:13" x14ac:dyDescent="0.2">
      <c r="A49" s="706"/>
      <c r="B49" s="707"/>
      <c r="C49" s="707"/>
      <c r="D49" s="707"/>
      <c r="E49" s="707"/>
      <c r="F49" s="707"/>
      <c r="G49" s="707"/>
      <c r="H49" s="707"/>
      <c r="I49" s="707"/>
      <c r="J49" s="707"/>
      <c r="K49" s="707"/>
      <c r="L49" s="707"/>
      <c r="M49" s="708"/>
    </row>
    <row r="50" spans="1:13" x14ac:dyDescent="0.2">
      <c r="A50" s="706"/>
      <c r="B50" s="707"/>
      <c r="C50" s="707"/>
      <c r="D50" s="707"/>
      <c r="E50" s="707"/>
      <c r="F50" s="707"/>
      <c r="G50" s="707"/>
      <c r="H50" s="707"/>
      <c r="I50" s="707"/>
      <c r="J50" s="707"/>
      <c r="K50" s="707"/>
      <c r="L50" s="707"/>
      <c r="M50" s="708"/>
    </row>
    <row r="51" spans="1:13" ht="274.5" customHeight="1" x14ac:dyDescent="0.2">
      <c r="A51" s="706"/>
      <c r="B51" s="707"/>
      <c r="C51" s="707"/>
      <c r="D51" s="707"/>
      <c r="E51" s="707"/>
      <c r="F51" s="707"/>
      <c r="G51" s="707"/>
      <c r="H51" s="707"/>
      <c r="I51" s="707"/>
      <c r="J51" s="707"/>
      <c r="K51" s="707"/>
      <c r="L51" s="707"/>
      <c r="M51" s="708"/>
    </row>
    <row r="52" spans="1:13" ht="409.5" customHeight="1" x14ac:dyDescent="0.2">
      <c r="A52" s="709"/>
      <c r="B52" s="710"/>
      <c r="C52" s="710"/>
      <c r="D52" s="710"/>
      <c r="E52" s="710"/>
      <c r="F52" s="710"/>
      <c r="G52" s="710"/>
      <c r="H52" s="710"/>
      <c r="I52" s="710"/>
      <c r="J52" s="710"/>
      <c r="K52" s="710"/>
      <c r="L52" s="710"/>
      <c r="M52" s="711"/>
    </row>
    <row r="53" spans="1:13" s="220" customFormat="1" x14ac:dyDescent="0.2">
      <c r="A53" s="280"/>
      <c r="B53" s="280"/>
      <c r="C53" s="280"/>
      <c r="D53" s="280"/>
      <c r="E53" s="280"/>
      <c r="F53" s="280"/>
      <c r="G53" s="280"/>
      <c r="H53" s="280"/>
      <c r="I53" s="280"/>
      <c r="J53" s="280"/>
      <c r="K53" s="280"/>
      <c r="L53" s="280"/>
      <c r="M53" s="280"/>
    </row>
    <row r="54" spans="1:13" ht="33" x14ac:dyDescent="0.2">
      <c r="A54" s="695" t="s">
        <v>244</v>
      </c>
      <c r="B54" s="695"/>
      <c r="C54" s="695"/>
      <c r="D54" s="695"/>
      <c r="E54" s="695"/>
      <c r="F54" s="695"/>
      <c r="G54" s="695"/>
      <c r="H54" s="695"/>
      <c r="I54" s="695"/>
      <c r="J54" s="695"/>
      <c r="K54" s="695"/>
      <c r="L54" s="695"/>
      <c r="M54" s="695"/>
    </row>
    <row r="55" spans="1:13" ht="16" x14ac:dyDescent="0.2">
      <c r="A55" s="214" t="s">
        <v>539</v>
      </c>
    </row>
    <row r="56" spans="1:13" s="533" customFormat="1" x14ac:dyDescent="0.2">
      <c r="A56" s="718" t="s">
        <v>1228</v>
      </c>
      <c r="B56" s="719"/>
      <c r="C56" s="719"/>
      <c r="D56" s="719"/>
      <c r="E56" s="719"/>
      <c r="F56" s="719"/>
      <c r="G56" s="719"/>
      <c r="H56" s="719"/>
      <c r="I56" s="719"/>
      <c r="J56" s="719"/>
      <c r="K56" s="719"/>
      <c r="L56" s="719"/>
      <c r="M56" s="720"/>
    </row>
    <row r="57" spans="1:13" s="533" customFormat="1" x14ac:dyDescent="0.2">
      <c r="A57" s="721"/>
      <c r="B57" s="722"/>
      <c r="C57" s="722"/>
      <c r="D57" s="722"/>
      <c r="E57" s="722"/>
      <c r="F57" s="722"/>
      <c r="G57" s="722"/>
      <c r="H57" s="722"/>
      <c r="I57" s="722"/>
      <c r="J57" s="722"/>
      <c r="K57" s="722"/>
      <c r="L57" s="722"/>
      <c r="M57" s="723"/>
    </row>
    <row r="58" spans="1:13" s="533" customFormat="1" x14ac:dyDescent="0.2">
      <c r="A58" s="721"/>
      <c r="B58" s="722"/>
      <c r="C58" s="722"/>
      <c r="D58" s="722"/>
      <c r="E58" s="722"/>
      <c r="F58" s="722"/>
      <c r="G58" s="722"/>
      <c r="H58" s="722"/>
      <c r="I58" s="722"/>
      <c r="J58" s="722"/>
      <c r="K58" s="722"/>
      <c r="L58" s="722"/>
      <c r="M58" s="723"/>
    </row>
    <row r="59" spans="1:13" s="533" customFormat="1" x14ac:dyDescent="0.2">
      <c r="A59" s="721"/>
      <c r="B59" s="722"/>
      <c r="C59" s="722"/>
      <c r="D59" s="722"/>
      <c r="E59" s="722"/>
      <c r="F59" s="722"/>
      <c r="G59" s="722"/>
      <c r="H59" s="722"/>
      <c r="I59" s="722"/>
      <c r="J59" s="722"/>
      <c r="K59" s="722"/>
      <c r="L59" s="722"/>
      <c r="M59" s="723"/>
    </row>
    <row r="60" spans="1:13" s="533" customFormat="1" x14ac:dyDescent="0.2">
      <c r="A60" s="721"/>
      <c r="B60" s="722"/>
      <c r="C60" s="722"/>
      <c r="D60" s="722"/>
      <c r="E60" s="722"/>
      <c r="F60" s="722"/>
      <c r="G60" s="722"/>
      <c r="H60" s="722"/>
      <c r="I60" s="722"/>
      <c r="J60" s="722"/>
      <c r="K60" s="722"/>
      <c r="L60" s="722"/>
      <c r="M60" s="723"/>
    </row>
    <row r="61" spans="1:13" s="533" customFormat="1" x14ac:dyDescent="0.2">
      <c r="A61" s="721"/>
      <c r="B61" s="722"/>
      <c r="C61" s="722"/>
      <c r="D61" s="722"/>
      <c r="E61" s="722"/>
      <c r="F61" s="722"/>
      <c r="G61" s="722"/>
      <c r="H61" s="722"/>
      <c r="I61" s="722"/>
      <c r="J61" s="722"/>
      <c r="K61" s="722"/>
      <c r="L61" s="722"/>
      <c r="M61" s="723"/>
    </row>
    <row r="62" spans="1:13" s="533" customFormat="1" x14ac:dyDescent="0.2">
      <c r="A62" s="721"/>
      <c r="B62" s="722"/>
      <c r="C62" s="722"/>
      <c r="D62" s="722"/>
      <c r="E62" s="722"/>
      <c r="F62" s="722"/>
      <c r="G62" s="722"/>
      <c r="H62" s="722"/>
      <c r="I62" s="722"/>
      <c r="J62" s="722"/>
      <c r="K62" s="722"/>
      <c r="L62" s="722"/>
      <c r="M62" s="723"/>
    </row>
    <row r="63" spans="1:13" s="533" customFormat="1" x14ac:dyDescent="0.2">
      <c r="A63" s="721"/>
      <c r="B63" s="722"/>
      <c r="C63" s="722"/>
      <c r="D63" s="722"/>
      <c r="E63" s="722"/>
      <c r="F63" s="722"/>
      <c r="G63" s="722"/>
      <c r="H63" s="722"/>
      <c r="I63" s="722"/>
      <c r="J63" s="722"/>
      <c r="K63" s="722"/>
      <c r="L63" s="722"/>
      <c r="M63" s="723"/>
    </row>
    <row r="64" spans="1:13" s="533" customFormat="1" x14ac:dyDescent="0.2">
      <c r="A64" s="721"/>
      <c r="B64" s="722"/>
      <c r="C64" s="722"/>
      <c r="D64" s="722"/>
      <c r="E64" s="722"/>
      <c r="F64" s="722"/>
      <c r="G64" s="722"/>
      <c r="H64" s="722"/>
      <c r="I64" s="722"/>
      <c r="J64" s="722"/>
      <c r="K64" s="722"/>
      <c r="L64" s="722"/>
      <c r="M64" s="723"/>
    </row>
    <row r="65" spans="1:13" s="533" customFormat="1" x14ac:dyDescent="0.2">
      <c r="A65" s="721"/>
      <c r="B65" s="722"/>
      <c r="C65" s="722"/>
      <c r="D65" s="722"/>
      <c r="E65" s="722"/>
      <c r="F65" s="722"/>
      <c r="G65" s="722"/>
      <c r="H65" s="722"/>
      <c r="I65" s="722"/>
      <c r="J65" s="722"/>
      <c r="K65" s="722"/>
      <c r="L65" s="722"/>
      <c r="M65" s="723"/>
    </row>
    <row r="66" spans="1:13" s="533" customFormat="1" ht="22.5" customHeight="1" x14ac:dyDescent="0.2">
      <c r="A66" s="724"/>
      <c r="B66" s="725"/>
      <c r="C66" s="725"/>
      <c r="D66" s="725"/>
      <c r="E66" s="725"/>
      <c r="F66" s="725"/>
      <c r="G66" s="725"/>
      <c r="H66" s="725"/>
      <c r="I66" s="725"/>
      <c r="J66" s="725"/>
      <c r="K66" s="725"/>
      <c r="L66" s="725"/>
      <c r="M66" s="726"/>
    </row>
    <row r="68" spans="1:13" x14ac:dyDescent="0.2">
      <c r="A68" s="216" t="s">
        <v>538</v>
      </c>
      <c r="G68" s="488">
        <f>+'1- Avant Projet'!G96</f>
        <v>44926</v>
      </c>
      <c r="H68" s="156" t="s">
        <v>318</v>
      </c>
      <c r="I68" s="194">
        <f>+An_1</f>
        <v>2023</v>
      </c>
    </row>
    <row r="69" spans="1:13" x14ac:dyDescent="0.2">
      <c r="A69" s="703" t="str">
        <f>'1- Avant Projet'!A97</f>
        <v xml:space="preserve">Mise en place de l'anatomopathologie en 2024
</v>
      </c>
      <c r="B69" s="704"/>
      <c r="C69" s="704"/>
      <c r="D69" s="704"/>
      <c r="E69" s="704"/>
      <c r="F69" s="704"/>
      <c r="G69" s="704"/>
      <c r="H69" s="704"/>
      <c r="I69" s="704"/>
      <c r="J69" s="704"/>
      <c r="K69" s="704"/>
      <c r="L69" s="704"/>
      <c r="M69" s="705"/>
    </row>
    <row r="70" spans="1:13" x14ac:dyDescent="0.2">
      <c r="A70" s="706"/>
      <c r="B70" s="707"/>
      <c r="C70" s="707"/>
      <c r="D70" s="707"/>
      <c r="E70" s="707"/>
      <c r="F70" s="707"/>
      <c r="G70" s="707"/>
      <c r="H70" s="707"/>
      <c r="I70" s="707"/>
      <c r="J70" s="707"/>
      <c r="K70" s="707"/>
      <c r="L70" s="707"/>
      <c r="M70" s="708"/>
    </row>
    <row r="71" spans="1:13" ht="13.5" customHeight="1" x14ac:dyDescent="0.2">
      <c r="A71" s="706"/>
      <c r="B71" s="707"/>
      <c r="C71" s="707"/>
      <c r="D71" s="707"/>
      <c r="E71" s="707"/>
      <c r="F71" s="707"/>
      <c r="G71" s="707"/>
      <c r="H71" s="707"/>
      <c r="I71" s="707"/>
      <c r="J71" s="707"/>
      <c r="K71" s="707"/>
      <c r="L71" s="707"/>
      <c r="M71" s="708"/>
    </row>
    <row r="72" spans="1:13" ht="6.75" customHeight="1" x14ac:dyDescent="0.2">
      <c r="A72" s="709"/>
      <c r="B72" s="710"/>
      <c r="C72" s="710"/>
      <c r="D72" s="710"/>
      <c r="E72" s="710"/>
      <c r="F72" s="710"/>
      <c r="G72" s="710"/>
      <c r="H72" s="710"/>
      <c r="I72" s="710"/>
      <c r="J72" s="710"/>
      <c r="K72" s="710"/>
      <c r="L72" s="710"/>
      <c r="M72" s="711"/>
    </row>
    <row r="74" spans="1:13" ht="33" x14ac:dyDescent="0.2">
      <c r="A74" s="695" t="s">
        <v>262</v>
      </c>
      <c r="B74" s="695"/>
      <c r="C74" s="695"/>
      <c r="D74" s="695"/>
      <c r="E74" s="695"/>
      <c r="F74" s="695"/>
      <c r="G74" s="695"/>
      <c r="H74" s="695"/>
      <c r="I74" s="695"/>
      <c r="J74" s="695"/>
      <c r="K74" s="695"/>
      <c r="L74" s="695"/>
      <c r="M74" s="695"/>
    </row>
    <row r="75" spans="1:13" ht="19" x14ac:dyDescent="0.25">
      <c r="A75" s="11" t="s">
        <v>265</v>
      </c>
      <c r="B75" s="133"/>
      <c r="C75" s="134"/>
      <c r="D75" s="271">
        <f>+'2- SYNTHESE FIN'!D10</f>
        <v>369362</v>
      </c>
      <c r="F75" s="11" t="s">
        <v>535</v>
      </c>
      <c r="H75" s="271">
        <f>+'2- SYNTHESE FIN'!D11</f>
        <v>0</v>
      </c>
    </row>
    <row r="77" spans="1:13" ht="33" x14ac:dyDescent="0.2">
      <c r="A77" s="695" t="s">
        <v>526</v>
      </c>
      <c r="B77" s="695"/>
      <c r="C77" s="695"/>
      <c r="D77" s="695"/>
      <c r="E77" s="695"/>
      <c r="F77" s="695"/>
      <c r="G77" s="695"/>
      <c r="H77" s="695"/>
      <c r="I77" s="695"/>
      <c r="J77" s="695"/>
      <c r="K77" s="695"/>
      <c r="L77" s="695"/>
      <c r="M77" s="695"/>
    </row>
    <row r="78" spans="1:13" ht="14.25" customHeight="1" x14ac:dyDescent="0.2">
      <c r="A78" s="221"/>
      <c r="B78" s="221"/>
      <c r="C78" s="221"/>
      <c r="D78" s="221"/>
      <c r="E78" s="221"/>
      <c r="F78" s="221"/>
      <c r="G78" s="221"/>
      <c r="H78" s="221"/>
      <c r="I78" s="221"/>
      <c r="J78" s="221"/>
      <c r="K78" s="221"/>
      <c r="L78" s="221"/>
      <c r="M78" s="221"/>
    </row>
    <row r="79" spans="1:13" x14ac:dyDescent="0.2">
      <c r="F79" s="269">
        <f>+An_1</f>
        <v>2023</v>
      </c>
      <c r="G79" s="269">
        <f>+F79+1</f>
        <v>2024</v>
      </c>
      <c r="H79" s="269">
        <f t="shared" ref="H79:J79" si="0">+G79+1</f>
        <v>2025</v>
      </c>
      <c r="I79" s="269">
        <f t="shared" si="0"/>
        <v>2026</v>
      </c>
      <c r="J79" s="269">
        <f t="shared" si="0"/>
        <v>2027</v>
      </c>
    </row>
    <row r="80" spans="1:13" x14ac:dyDescent="0.2">
      <c r="A80" s="267" t="s">
        <v>7</v>
      </c>
      <c r="B80" s="200"/>
      <c r="C80" s="200"/>
      <c r="D80" s="200"/>
      <c r="E80" s="200"/>
      <c r="F80" s="268">
        <f>'2- SYNTHESE FIN'!B44</f>
        <v>1638147.2</v>
      </c>
      <c r="G80" s="268">
        <f>'2- SYNTHESE FIN'!C44</f>
        <v>1638147.2</v>
      </c>
      <c r="H80" s="268">
        <f>'2- SYNTHESE FIN'!D44</f>
        <v>1638147.2</v>
      </c>
      <c r="I80" s="268">
        <f>'2- SYNTHESE FIN'!E44</f>
        <v>1638147.2</v>
      </c>
      <c r="J80" s="268">
        <f>'2- SYNTHESE FIN'!F44</f>
        <v>1638147.2</v>
      </c>
    </row>
    <row r="81" spans="1:13" x14ac:dyDescent="0.2">
      <c r="A81" s="267" t="s">
        <v>527</v>
      </c>
      <c r="B81" s="200"/>
      <c r="C81" s="200"/>
      <c r="D81" s="200"/>
      <c r="E81" s="200"/>
      <c r="F81" s="268">
        <f>'2- SYNTHESE FIN'!B37</f>
        <v>1550664.9329272315</v>
      </c>
      <c r="G81" s="268">
        <f>'2- SYNTHESE FIN'!C37</f>
        <v>1548954.4605801811</v>
      </c>
      <c r="H81" s="268">
        <f>'2- SYNTHESE FIN'!D37</f>
        <v>1547019.3786950433</v>
      </c>
      <c r="I81" s="268">
        <f>'2- SYNTHESE FIN'!E37</f>
        <v>1545009.469381249</v>
      </c>
      <c r="J81" s="268">
        <f>'2- SYNTHESE FIN'!F37</f>
        <v>1542921.8391467328</v>
      </c>
    </row>
    <row r="82" spans="1:13" s="222" customFormat="1" ht="16" x14ac:dyDescent="0.2">
      <c r="A82" s="395" t="s">
        <v>528</v>
      </c>
      <c r="B82" s="396"/>
      <c r="C82" s="396"/>
      <c r="D82" s="396"/>
      <c r="E82" s="396"/>
      <c r="F82" s="270">
        <f>'2- SYNTHESE FIN'!B46</f>
        <v>87482.267072768416</v>
      </c>
      <c r="G82" s="270">
        <f>'2- SYNTHESE FIN'!C46</f>
        <v>89192.739419818856</v>
      </c>
      <c r="H82" s="270">
        <f>'2- SYNTHESE FIN'!D46</f>
        <v>91127.821304956684</v>
      </c>
      <c r="I82" s="270">
        <f>'2- SYNTHESE FIN'!E46</f>
        <v>93137.730618750909</v>
      </c>
      <c r="J82" s="270">
        <f>'2- SYNTHESE FIN'!F46</f>
        <v>95225.360853267135</v>
      </c>
    </row>
    <row r="83" spans="1:13" s="222" customFormat="1" ht="16" x14ac:dyDescent="0.2">
      <c r="A83" s="395" t="s">
        <v>537</v>
      </c>
      <c r="B83" s="396"/>
      <c r="C83" s="396"/>
      <c r="D83" s="396"/>
      <c r="E83" s="396"/>
      <c r="F83" s="274">
        <f>+'2- SYNTHESE FIN'!B48</f>
        <v>5.3403178342439815E-2</v>
      </c>
      <c r="G83" s="274">
        <f>+'2- SYNTHESE FIN'!C48</f>
        <v>5.444732892124643E-2</v>
      </c>
      <c r="H83" s="274">
        <f>+'2- SYNTHESE FIN'!D48</f>
        <v>5.5628591438520718E-2</v>
      </c>
      <c r="I83" s="274">
        <f>+'2- SYNTHESE FIN'!E48</f>
        <v>5.6855532041779219E-2</v>
      </c>
      <c r="J83" s="274">
        <f>+'2- SYNTHESE FIN'!F48</f>
        <v>5.8129917050962904E-2</v>
      </c>
    </row>
    <row r="85" spans="1:13" ht="33" x14ac:dyDescent="0.2">
      <c r="A85" s="695" t="s">
        <v>554</v>
      </c>
      <c r="B85" s="695"/>
      <c r="C85" s="695"/>
      <c r="D85" s="695"/>
      <c r="E85" s="695"/>
      <c r="F85" s="695"/>
      <c r="G85" s="695"/>
      <c r="H85" s="695"/>
      <c r="I85" s="695"/>
      <c r="J85" s="695"/>
      <c r="K85" s="695"/>
      <c r="L85" s="695"/>
      <c r="M85" s="695"/>
    </row>
    <row r="87" spans="1:13" x14ac:dyDescent="0.2">
      <c r="F87" s="269">
        <f>+'3- EVALUATION'!B16</f>
        <v>2023</v>
      </c>
      <c r="G87" s="269">
        <f>+'3- EVALUATION'!C16</f>
        <v>2024</v>
      </c>
      <c r="H87" s="269">
        <f>+'3- EVALUATION'!D16</f>
        <v>2025</v>
      </c>
      <c r="I87" s="269">
        <f>+'3- EVALUATION'!E16</f>
        <v>2026</v>
      </c>
      <c r="J87" s="269">
        <f>+'3- EVALUATION'!F16</f>
        <v>2027</v>
      </c>
    </row>
    <row r="88" spans="1:13" x14ac:dyDescent="0.2">
      <c r="A88" s="392" t="s">
        <v>558</v>
      </c>
      <c r="B88" s="393">
        <f>+'3- EVALUATION'!B9</f>
        <v>0</v>
      </c>
      <c r="C88" s="200"/>
      <c r="D88" s="200"/>
      <c r="E88" s="394"/>
      <c r="F88" s="397">
        <f>+'3- EVALUATION'!B19</f>
        <v>0</v>
      </c>
      <c r="G88" s="397">
        <f>+'3- EVALUATION'!C19</f>
        <v>0</v>
      </c>
      <c r="H88" s="397">
        <f>+'3- EVALUATION'!D19</f>
        <v>0</v>
      </c>
      <c r="I88" s="397">
        <f>+'3- EVALUATION'!E19</f>
        <v>0</v>
      </c>
      <c r="J88" s="397">
        <f>+'3- EVALUATION'!F19</f>
        <v>0</v>
      </c>
    </row>
    <row r="89" spans="1:13" x14ac:dyDescent="0.2">
      <c r="A89" s="392" t="s">
        <v>559</v>
      </c>
      <c r="B89" s="393">
        <f>+'3- EVALUATION'!B22</f>
        <v>0</v>
      </c>
      <c r="C89" s="200"/>
      <c r="D89" s="200"/>
      <c r="E89" s="394"/>
      <c r="F89" s="397">
        <f>+'3- EVALUATION'!B32</f>
        <v>0</v>
      </c>
      <c r="G89" s="397">
        <f>+'3- EVALUATION'!C32</f>
        <v>0</v>
      </c>
      <c r="H89" s="397">
        <f>+'3- EVALUATION'!D32</f>
        <v>0</v>
      </c>
      <c r="I89" s="397">
        <f>+'3- EVALUATION'!E32</f>
        <v>0</v>
      </c>
      <c r="J89" s="397">
        <f>+'3- EVALUATION'!F32</f>
        <v>0</v>
      </c>
    </row>
    <row r="90" spans="1:13" x14ac:dyDescent="0.2">
      <c r="A90" s="392" t="s">
        <v>560</v>
      </c>
      <c r="B90" s="393">
        <f>+'3- EVALUATION'!B35</f>
        <v>0</v>
      </c>
      <c r="C90" s="200"/>
      <c r="D90" s="200"/>
      <c r="E90" s="394"/>
      <c r="F90" s="397">
        <f>+'3- EVALUATION'!B45</f>
        <v>0</v>
      </c>
      <c r="G90" s="397">
        <f>+'3- EVALUATION'!C45</f>
        <v>0</v>
      </c>
      <c r="H90" s="397">
        <f>+'3- EVALUATION'!D45</f>
        <v>0</v>
      </c>
      <c r="I90" s="397">
        <f>+'3- EVALUATION'!E45</f>
        <v>0</v>
      </c>
      <c r="J90" s="397">
        <f>+'3- EVALUATION'!F45</f>
        <v>0</v>
      </c>
    </row>
    <row r="91" spans="1:13" x14ac:dyDescent="0.2">
      <c r="A91" s="392" t="s">
        <v>561</v>
      </c>
      <c r="B91" s="393">
        <f>+'3- EVALUATION'!B48</f>
        <v>0</v>
      </c>
      <c r="C91" s="200"/>
      <c r="D91" s="200"/>
      <c r="E91" s="394"/>
      <c r="F91" s="397">
        <f>+'3- EVALUATION'!B58</f>
        <v>0</v>
      </c>
      <c r="G91" s="397">
        <f>+'3- EVALUATION'!C58</f>
        <v>0</v>
      </c>
      <c r="H91" s="397">
        <f>+'3- EVALUATION'!D58</f>
        <v>0</v>
      </c>
      <c r="I91" s="397">
        <f>+'3- EVALUATION'!E58</f>
        <v>0</v>
      </c>
      <c r="J91" s="397">
        <f>+'3- EVALUATION'!F58</f>
        <v>0</v>
      </c>
    </row>
    <row r="92" spans="1:13" x14ac:dyDescent="0.2">
      <c r="A92" s="392" t="s">
        <v>562</v>
      </c>
      <c r="B92" s="393">
        <f>+'3- EVALUATION'!B61</f>
        <v>0</v>
      </c>
      <c r="C92" s="200"/>
      <c r="D92" s="200"/>
      <c r="E92" s="394"/>
      <c r="F92" s="397">
        <f>+'3- EVALUATION'!B71</f>
        <v>0</v>
      </c>
      <c r="G92" s="397">
        <f>+'3- EVALUATION'!C71</f>
        <v>0</v>
      </c>
      <c r="H92" s="397">
        <f>+'3- EVALUATION'!D71</f>
        <v>0</v>
      </c>
      <c r="I92" s="397">
        <f>+'3- EVALUATION'!E71</f>
        <v>0</v>
      </c>
      <c r="J92" s="397">
        <f>+'3- EVALUATION'!F71</f>
        <v>0</v>
      </c>
    </row>
  </sheetData>
  <mergeCells count="27">
    <mergeCell ref="H13:M13"/>
    <mergeCell ref="A69:M72"/>
    <mergeCell ref="D19:M19"/>
    <mergeCell ref="D21:M21"/>
    <mergeCell ref="A54:M54"/>
    <mergeCell ref="A56:M66"/>
    <mergeCell ref="D17:M17"/>
    <mergeCell ref="A23:M23"/>
    <mergeCell ref="J26:L26"/>
    <mergeCell ref="A32:M32"/>
    <mergeCell ref="A34:M52"/>
    <mergeCell ref="A85:M85"/>
    <mergeCell ref="E2:M2"/>
    <mergeCell ref="G4:H4"/>
    <mergeCell ref="A6:F6"/>
    <mergeCell ref="G6:M6"/>
    <mergeCell ref="A15:M15"/>
    <mergeCell ref="A9:M9"/>
    <mergeCell ref="A12:C12"/>
    <mergeCell ref="E11:G11"/>
    <mergeCell ref="H11:M11"/>
    <mergeCell ref="E12:G12"/>
    <mergeCell ref="H12:M12"/>
    <mergeCell ref="A74:M74"/>
    <mergeCell ref="A77:M77"/>
    <mergeCell ref="A13:C13"/>
    <mergeCell ref="E13:G13"/>
  </mergeCells>
  <conditionalFormatting sqref="F82:J82">
    <cfRule type="cellIs" dxfId="19" priority="2" operator="lessThan">
      <formula>0</formula>
    </cfRule>
  </conditionalFormatting>
  <conditionalFormatting sqref="F83:J83">
    <cfRule type="cellIs" dxfId="18" priority="1" operator="lessThan">
      <formula>0</formula>
    </cfRule>
  </conditionalFormatting>
  <pageMargins left="0.70866141732283472" right="0.70866141732283472" top="0.74803149606299213" bottom="0.74803149606299213" header="0.31496062992125984" footer="0.31496062992125984"/>
  <pageSetup paperSize="9" scale="54" orientation="portrait" r:id="rId1"/>
  <headerFooter>
    <oddFooter>&amp;LCHU REUNION&amp;C&amp;A
&amp;P/&amp;N&amp;R&amp;F</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0">
    <tabColor theme="7"/>
    <pageSetUpPr fitToPage="1"/>
  </sheetPr>
  <dimension ref="A2:Q148"/>
  <sheetViews>
    <sheetView topLeftCell="A122" workbookViewId="0">
      <selection activeCell="G6" sqref="G6:M6"/>
    </sheetView>
  </sheetViews>
  <sheetFormatPr baseColWidth="10" defaultRowHeight="15" x14ac:dyDescent="0.2"/>
  <cols>
    <col min="4" max="4" width="14.6640625" customWidth="1"/>
    <col min="13" max="13" width="10.1640625" customWidth="1"/>
    <col min="14" max="14" width="2.1640625" customWidth="1"/>
  </cols>
  <sheetData>
    <row r="2" spans="1:13" ht="33.75" customHeight="1" x14ac:dyDescent="0.2">
      <c r="E2" s="728" t="s">
        <v>544</v>
      </c>
      <c r="F2" s="728"/>
      <c r="G2" s="728"/>
      <c r="H2" s="728"/>
      <c r="I2" s="728"/>
      <c r="J2" s="728"/>
      <c r="K2" s="728"/>
      <c r="L2" s="728"/>
      <c r="M2" s="728"/>
    </row>
    <row r="3" spans="1:13" ht="33" x14ac:dyDescent="0.2">
      <c r="E3" s="120"/>
      <c r="F3" s="119"/>
      <c r="G3" s="119"/>
      <c r="H3" s="119"/>
      <c r="I3" s="119"/>
      <c r="J3" s="119"/>
      <c r="K3" s="119"/>
    </row>
    <row r="4" spans="1:13" ht="19" x14ac:dyDescent="0.25">
      <c r="E4" s="121" t="s">
        <v>245</v>
      </c>
      <c r="G4" s="729"/>
      <c r="H4" s="729"/>
      <c r="L4" s="155" t="s">
        <v>524</v>
      </c>
      <c r="M4" s="276" t="s">
        <v>525</v>
      </c>
    </row>
    <row r="6" spans="1:13" ht="93" customHeight="1" x14ac:dyDescent="0.2">
      <c r="A6" s="730" t="s">
        <v>242</v>
      </c>
      <c r="B6" s="730"/>
      <c r="C6" s="730"/>
      <c r="D6" s="730"/>
      <c r="E6" s="730"/>
      <c r="F6" s="730"/>
      <c r="G6" s="731" t="str">
        <f>RESUME!G6</f>
        <v>Biologie moléculaire - Plateforme NGS : réinternalisation des examens</v>
      </c>
      <c r="H6" s="731"/>
      <c r="I6" s="731"/>
      <c r="J6" s="731"/>
      <c r="K6" s="731"/>
      <c r="L6" s="731"/>
      <c r="M6" s="731"/>
    </row>
    <row r="8" spans="1:13" x14ac:dyDescent="0.2">
      <c r="F8" s="68"/>
    </row>
    <row r="9" spans="1:13" ht="33" x14ac:dyDescent="0.2">
      <c r="A9" s="728" t="s">
        <v>243</v>
      </c>
      <c r="B9" s="728"/>
      <c r="C9" s="728"/>
      <c r="D9" s="728"/>
      <c r="E9" s="728"/>
      <c r="F9" s="728"/>
      <c r="G9" s="728"/>
      <c r="H9" s="728"/>
      <c r="I9" s="728"/>
      <c r="J9" s="728"/>
      <c r="K9" s="728"/>
      <c r="L9" s="728"/>
      <c r="M9" s="728"/>
    </row>
    <row r="11" spans="1:13" x14ac:dyDescent="0.2">
      <c r="A11" s="147" t="s">
        <v>505</v>
      </c>
      <c r="D11" s="732" t="s">
        <v>720</v>
      </c>
      <c r="E11" s="732"/>
      <c r="F11" s="732"/>
      <c r="G11" s="732"/>
      <c r="H11" s="732"/>
      <c r="I11" s="732"/>
      <c r="J11" s="732"/>
      <c r="K11" s="732"/>
      <c r="L11" s="732"/>
      <c r="M11" s="732"/>
    </row>
    <row r="13" spans="1:13" x14ac:dyDescent="0.2">
      <c r="A13" s="213" t="s">
        <v>506</v>
      </c>
      <c r="D13" s="733" t="s">
        <v>716</v>
      </c>
      <c r="E13" s="734"/>
      <c r="F13" s="734"/>
      <c r="G13" s="734"/>
      <c r="H13" s="734"/>
      <c r="I13" s="734"/>
      <c r="J13" s="734"/>
      <c r="K13" s="734"/>
      <c r="L13" s="734"/>
      <c r="M13" s="734"/>
    </row>
    <row r="15" spans="1:13" x14ac:dyDescent="0.2">
      <c r="A15" s="213" t="s">
        <v>504</v>
      </c>
      <c r="D15" s="733" t="s">
        <v>1206</v>
      </c>
      <c r="E15" s="734"/>
      <c r="F15" s="734"/>
      <c r="G15" s="734"/>
      <c r="H15" s="734"/>
      <c r="I15" s="734"/>
      <c r="J15" s="734"/>
      <c r="K15" s="734"/>
      <c r="L15" s="734"/>
      <c r="M15" s="734"/>
    </row>
    <row r="16" spans="1:13" x14ac:dyDescent="0.2">
      <c r="A16" s="212"/>
    </row>
    <row r="17" spans="1:13" s="122" customFormat="1" x14ac:dyDescent="0.2">
      <c r="A17" s="135"/>
      <c r="B17" s="135"/>
      <c r="C17" s="135"/>
      <c r="D17" s="136"/>
      <c r="E17" s="137"/>
      <c r="F17" s="137"/>
      <c r="G17" s="137"/>
      <c r="H17" s="137"/>
      <c r="I17" s="137"/>
      <c r="J17" s="137"/>
      <c r="K17" s="137"/>
      <c r="L17" s="137"/>
      <c r="M17" s="137"/>
    </row>
    <row r="18" spans="1:13" ht="33" x14ac:dyDescent="0.2">
      <c r="A18" s="728" t="s">
        <v>255</v>
      </c>
      <c r="B18" s="728"/>
      <c r="C18" s="728"/>
      <c r="D18" s="728"/>
      <c r="E18" s="728"/>
      <c r="F18" s="728"/>
      <c r="G18" s="728"/>
      <c r="H18" s="728"/>
      <c r="I18" s="728"/>
      <c r="J18" s="728"/>
      <c r="K18" s="728"/>
      <c r="L18" s="728"/>
      <c r="M18" s="728"/>
    </row>
    <row r="19" spans="1:13" x14ac:dyDescent="0.2">
      <c r="A19" s="277" t="s">
        <v>260</v>
      </c>
      <c r="B19" s="220"/>
      <c r="C19" s="220"/>
      <c r="D19" s="220"/>
      <c r="E19" s="220"/>
      <c r="F19" s="220"/>
      <c r="G19" s="220"/>
      <c r="H19" s="220"/>
      <c r="I19" s="220"/>
      <c r="J19" s="220"/>
      <c r="K19" s="220"/>
      <c r="L19" s="220"/>
      <c r="M19" s="220"/>
    </row>
    <row r="20" spans="1:13" x14ac:dyDescent="0.2">
      <c r="A20" s="278" t="s">
        <v>251</v>
      </c>
      <c r="B20" s="220"/>
      <c r="C20" s="220"/>
      <c r="D20" s="220"/>
      <c r="E20" s="278" t="s">
        <v>253</v>
      </c>
      <c r="F20" s="220"/>
      <c r="G20" s="220"/>
      <c r="H20" s="220"/>
      <c r="I20" s="220"/>
      <c r="J20" s="278" t="s">
        <v>261</v>
      </c>
      <c r="K20" s="220"/>
      <c r="L20" s="220"/>
      <c r="M20" s="220"/>
    </row>
    <row r="21" spans="1:13" x14ac:dyDescent="0.2">
      <c r="A21" s="278" t="s">
        <v>252</v>
      </c>
      <c r="B21" s="220"/>
      <c r="C21" s="220"/>
      <c r="D21" s="220"/>
      <c r="E21" s="278" t="s">
        <v>254</v>
      </c>
      <c r="F21" s="220"/>
      <c r="G21" s="220"/>
      <c r="H21" s="220"/>
      <c r="I21" s="220"/>
      <c r="J21" s="526"/>
      <c r="K21" s="526"/>
      <c r="L21" s="526"/>
      <c r="M21" s="220"/>
    </row>
    <row r="22" spans="1:13" x14ac:dyDescent="0.2">
      <c r="A22" s="220"/>
      <c r="B22" s="220"/>
      <c r="C22" s="220"/>
      <c r="D22" s="220"/>
      <c r="E22" s="220"/>
      <c r="F22" s="220"/>
      <c r="G22" s="220"/>
      <c r="H22" s="220"/>
      <c r="I22" s="220"/>
      <c r="J22" s="220"/>
      <c r="K22" s="220"/>
      <c r="L22" s="220"/>
      <c r="M22" s="220"/>
    </row>
    <row r="23" spans="1:13" x14ac:dyDescent="0.2">
      <c r="A23" s="279" t="s">
        <v>256</v>
      </c>
      <c r="B23" s="220"/>
      <c r="C23" s="220"/>
      <c r="D23" s="220"/>
      <c r="E23" s="220"/>
      <c r="F23" s="220"/>
      <c r="G23" s="220"/>
      <c r="H23" s="220"/>
      <c r="I23" s="220"/>
      <c r="J23" s="220"/>
      <c r="K23" s="220"/>
      <c r="L23" s="220"/>
      <c r="M23" s="220"/>
    </row>
    <row r="24" spans="1:13" x14ac:dyDescent="0.2">
      <c r="A24" s="278" t="s">
        <v>711</v>
      </c>
      <c r="B24" s="220"/>
      <c r="C24" s="220"/>
      <c r="D24" s="220"/>
      <c r="E24" s="278" t="s">
        <v>258</v>
      </c>
      <c r="F24" s="220"/>
      <c r="G24" s="220"/>
      <c r="H24" s="220"/>
      <c r="I24" s="220"/>
      <c r="J24" s="278" t="s">
        <v>498</v>
      </c>
      <c r="K24" s="220"/>
      <c r="L24" s="220"/>
      <c r="M24" s="220"/>
    </row>
    <row r="25" spans="1:13" x14ac:dyDescent="0.2">
      <c r="A25" s="278" t="s">
        <v>257</v>
      </c>
      <c r="B25" s="220"/>
      <c r="C25" s="220"/>
      <c r="D25" s="220"/>
      <c r="E25" s="278" t="s">
        <v>259</v>
      </c>
      <c r="F25" s="220"/>
      <c r="G25" s="220"/>
      <c r="H25" s="220"/>
      <c r="I25" s="220"/>
      <c r="J25" s="278" t="s">
        <v>261</v>
      </c>
      <c r="K25" s="220"/>
      <c r="L25" s="220"/>
      <c r="M25" s="220"/>
    </row>
    <row r="26" spans="1:13" x14ac:dyDescent="0.2">
      <c r="A26" s="278"/>
      <c r="B26" s="220"/>
      <c r="C26" s="220"/>
      <c r="D26" s="220"/>
      <c r="E26" s="278"/>
      <c r="F26" s="220"/>
      <c r="G26" s="220"/>
      <c r="H26" s="220"/>
      <c r="I26" s="220"/>
      <c r="J26" s="526"/>
      <c r="K26" s="526"/>
      <c r="L26" s="526"/>
      <c r="M26" s="220"/>
    </row>
    <row r="28" spans="1:13" ht="33" x14ac:dyDescent="0.2">
      <c r="A28" s="728" t="s">
        <v>267</v>
      </c>
      <c r="B28" s="728"/>
      <c r="C28" s="728"/>
      <c r="D28" s="728"/>
      <c r="E28" s="728"/>
      <c r="F28" s="728"/>
      <c r="G28" s="728"/>
      <c r="H28" s="728"/>
      <c r="I28" s="728"/>
      <c r="J28" s="728"/>
      <c r="K28" s="728"/>
      <c r="L28" s="728"/>
      <c r="M28" s="728"/>
    </row>
    <row r="29" spans="1:13" ht="21" customHeight="1" x14ac:dyDescent="0.2">
      <c r="A29" s="214" t="s">
        <v>508</v>
      </c>
    </row>
    <row r="30" spans="1:13" x14ac:dyDescent="0.2">
      <c r="A30" s="735" t="s">
        <v>1231</v>
      </c>
      <c r="B30" s="736"/>
      <c r="C30" s="736"/>
      <c r="D30" s="736"/>
      <c r="E30" s="736"/>
      <c r="F30" s="736"/>
      <c r="G30" s="736"/>
      <c r="H30" s="736"/>
      <c r="I30" s="736"/>
      <c r="J30" s="736"/>
      <c r="K30" s="736"/>
      <c r="L30" s="736"/>
      <c r="M30" s="737"/>
    </row>
    <row r="31" spans="1:13" x14ac:dyDescent="0.2">
      <c r="A31" s="738"/>
      <c r="B31" s="739"/>
      <c r="C31" s="739"/>
      <c r="D31" s="739"/>
      <c r="E31" s="739"/>
      <c r="F31" s="739"/>
      <c r="G31" s="739"/>
      <c r="H31" s="739"/>
      <c r="I31" s="739"/>
      <c r="J31" s="739"/>
      <c r="K31" s="739"/>
      <c r="L31" s="739"/>
      <c r="M31" s="740"/>
    </row>
    <row r="32" spans="1:13" x14ac:dyDescent="0.2">
      <c r="A32" s="738"/>
      <c r="B32" s="739"/>
      <c r="C32" s="739"/>
      <c r="D32" s="739"/>
      <c r="E32" s="739"/>
      <c r="F32" s="739"/>
      <c r="G32" s="739"/>
      <c r="H32" s="739"/>
      <c r="I32" s="739"/>
      <c r="J32" s="739"/>
      <c r="K32" s="739"/>
      <c r="L32" s="739"/>
      <c r="M32" s="740"/>
    </row>
    <row r="33" spans="1:13" x14ac:dyDescent="0.2">
      <c r="A33" s="738"/>
      <c r="B33" s="739"/>
      <c r="C33" s="739"/>
      <c r="D33" s="739"/>
      <c r="E33" s="739"/>
      <c r="F33" s="739"/>
      <c r="G33" s="739"/>
      <c r="H33" s="739"/>
      <c r="I33" s="739"/>
      <c r="J33" s="739"/>
      <c r="K33" s="739"/>
      <c r="L33" s="739"/>
      <c r="M33" s="740"/>
    </row>
    <row r="34" spans="1:13" x14ac:dyDescent="0.2">
      <c r="A34" s="738"/>
      <c r="B34" s="739"/>
      <c r="C34" s="739"/>
      <c r="D34" s="739"/>
      <c r="E34" s="739"/>
      <c r="F34" s="739"/>
      <c r="G34" s="739"/>
      <c r="H34" s="739"/>
      <c r="I34" s="739"/>
      <c r="J34" s="739"/>
      <c r="K34" s="739"/>
      <c r="L34" s="739"/>
      <c r="M34" s="740"/>
    </row>
    <row r="35" spans="1:13" x14ac:dyDescent="0.2">
      <c r="A35" s="738"/>
      <c r="B35" s="739"/>
      <c r="C35" s="739"/>
      <c r="D35" s="739"/>
      <c r="E35" s="739"/>
      <c r="F35" s="739"/>
      <c r="G35" s="739"/>
      <c r="H35" s="739"/>
      <c r="I35" s="739"/>
      <c r="J35" s="739"/>
      <c r="K35" s="739"/>
      <c r="L35" s="739"/>
      <c r="M35" s="740"/>
    </row>
    <row r="36" spans="1:13" x14ac:dyDescent="0.2">
      <c r="A36" s="738"/>
      <c r="B36" s="739"/>
      <c r="C36" s="739"/>
      <c r="D36" s="739"/>
      <c r="E36" s="739"/>
      <c r="F36" s="739"/>
      <c r="G36" s="739"/>
      <c r="H36" s="739"/>
      <c r="I36" s="739"/>
      <c r="J36" s="739"/>
      <c r="K36" s="739"/>
      <c r="L36" s="739"/>
      <c r="M36" s="740"/>
    </row>
    <row r="37" spans="1:13" x14ac:dyDescent="0.2">
      <c r="A37" s="738"/>
      <c r="B37" s="739"/>
      <c r="C37" s="739"/>
      <c r="D37" s="739"/>
      <c r="E37" s="739"/>
      <c r="F37" s="739"/>
      <c r="G37" s="739"/>
      <c r="H37" s="739"/>
      <c r="I37" s="739"/>
      <c r="J37" s="739"/>
      <c r="K37" s="739"/>
      <c r="L37" s="739"/>
      <c r="M37" s="740"/>
    </row>
    <row r="38" spans="1:13" x14ac:dyDescent="0.2">
      <c r="A38" s="738"/>
      <c r="B38" s="739"/>
      <c r="C38" s="739"/>
      <c r="D38" s="739"/>
      <c r="E38" s="739"/>
      <c r="F38" s="739"/>
      <c r="G38" s="739"/>
      <c r="H38" s="739"/>
      <c r="I38" s="739"/>
      <c r="J38" s="739"/>
      <c r="K38" s="739"/>
      <c r="L38" s="739"/>
      <c r="M38" s="740"/>
    </row>
    <row r="39" spans="1:13" x14ac:dyDescent="0.2">
      <c r="A39" s="738"/>
      <c r="B39" s="739"/>
      <c r="C39" s="739"/>
      <c r="D39" s="739"/>
      <c r="E39" s="739"/>
      <c r="F39" s="739"/>
      <c r="G39" s="739"/>
      <c r="H39" s="739"/>
      <c r="I39" s="739"/>
      <c r="J39" s="739"/>
      <c r="K39" s="739"/>
      <c r="L39" s="739"/>
      <c r="M39" s="740"/>
    </row>
    <row r="40" spans="1:13" x14ac:dyDescent="0.2">
      <c r="A40" s="738"/>
      <c r="B40" s="739"/>
      <c r="C40" s="739"/>
      <c r="D40" s="739"/>
      <c r="E40" s="739"/>
      <c r="F40" s="739"/>
      <c r="G40" s="739"/>
      <c r="H40" s="739"/>
      <c r="I40" s="739"/>
      <c r="J40" s="739"/>
      <c r="K40" s="739"/>
      <c r="L40" s="739"/>
      <c r="M40" s="740"/>
    </row>
    <row r="41" spans="1:13" x14ac:dyDescent="0.2">
      <c r="A41" s="738"/>
      <c r="B41" s="739"/>
      <c r="C41" s="739"/>
      <c r="D41" s="739"/>
      <c r="E41" s="739"/>
      <c r="F41" s="739"/>
      <c r="G41" s="739"/>
      <c r="H41" s="739"/>
      <c r="I41" s="739"/>
      <c r="J41" s="739"/>
      <c r="K41" s="739"/>
      <c r="L41" s="739"/>
      <c r="M41" s="740"/>
    </row>
    <row r="42" spans="1:13" x14ac:dyDescent="0.2">
      <c r="A42" s="738"/>
      <c r="B42" s="739"/>
      <c r="C42" s="739"/>
      <c r="D42" s="739"/>
      <c r="E42" s="739"/>
      <c r="F42" s="739"/>
      <c r="G42" s="739"/>
      <c r="H42" s="739"/>
      <c r="I42" s="739"/>
      <c r="J42" s="739"/>
      <c r="K42" s="739"/>
      <c r="L42" s="739"/>
      <c r="M42" s="740"/>
    </row>
    <row r="43" spans="1:13" x14ac:dyDescent="0.2">
      <c r="A43" s="738"/>
      <c r="B43" s="739"/>
      <c r="C43" s="739"/>
      <c r="D43" s="739"/>
      <c r="E43" s="739"/>
      <c r="F43" s="739"/>
      <c r="G43" s="739"/>
      <c r="H43" s="739"/>
      <c r="I43" s="739"/>
      <c r="J43" s="739"/>
      <c r="K43" s="739"/>
      <c r="L43" s="739"/>
      <c r="M43" s="740"/>
    </row>
    <row r="44" spans="1:13" x14ac:dyDescent="0.2">
      <c r="A44" s="738"/>
      <c r="B44" s="739"/>
      <c r="C44" s="739"/>
      <c r="D44" s="739"/>
      <c r="E44" s="739"/>
      <c r="F44" s="739"/>
      <c r="G44" s="739"/>
      <c r="H44" s="739"/>
      <c r="I44" s="739"/>
      <c r="J44" s="739"/>
      <c r="K44" s="739"/>
      <c r="L44" s="739"/>
      <c r="M44" s="740"/>
    </row>
    <row r="45" spans="1:13" x14ac:dyDescent="0.2">
      <c r="A45" s="738"/>
      <c r="B45" s="739"/>
      <c r="C45" s="739"/>
      <c r="D45" s="739"/>
      <c r="E45" s="739"/>
      <c r="F45" s="739"/>
      <c r="G45" s="739"/>
      <c r="H45" s="739"/>
      <c r="I45" s="739"/>
      <c r="J45" s="739"/>
      <c r="K45" s="739"/>
      <c r="L45" s="739"/>
      <c r="M45" s="740"/>
    </row>
    <row r="46" spans="1:13" x14ac:dyDescent="0.2">
      <c r="A46" s="738"/>
      <c r="B46" s="739"/>
      <c r="C46" s="739"/>
      <c r="D46" s="739"/>
      <c r="E46" s="739"/>
      <c r="F46" s="739"/>
      <c r="G46" s="739"/>
      <c r="H46" s="739"/>
      <c r="I46" s="739"/>
      <c r="J46" s="739"/>
      <c r="K46" s="739"/>
      <c r="L46" s="739"/>
      <c r="M46" s="740"/>
    </row>
    <row r="47" spans="1:13" x14ac:dyDescent="0.2">
      <c r="A47" s="738"/>
      <c r="B47" s="739"/>
      <c r="C47" s="739"/>
      <c r="D47" s="739"/>
      <c r="E47" s="739"/>
      <c r="F47" s="739"/>
      <c r="G47" s="739"/>
      <c r="H47" s="739"/>
      <c r="I47" s="739"/>
      <c r="J47" s="739"/>
      <c r="K47" s="739"/>
      <c r="L47" s="739"/>
      <c r="M47" s="740"/>
    </row>
    <row r="48" spans="1:13" x14ac:dyDescent="0.2">
      <c r="A48" s="738"/>
      <c r="B48" s="739"/>
      <c r="C48" s="739"/>
      <c r="D48" s="739"/>
      <c r="E48" s="739"/>
      <c r="F48" s="739"/>
      <c r="G48" s="739"/>
      <c r="H48" s="739"/>
      <c r="I48" s="739"/>
      <c r="J48" s="739"/>
      <c r="K48" s="739"/>
      <c r="L48" s="739"/>
      <c r="M48" s="740"/>
    </row>
    <row r="49" spans="1:13" x14ac:dyDescent="0.2">
      <c r="A49" s="738"/>
      <c r="B49" s="739"/>
      <c r="C49" s="739"/>
      <c r="D49" s="739"/>
      <c r="E49" s="739"/>
      <c r="F49" s="739"/>
      <c r="G49" s="739"/>
      <c r="H49" s="739"/>
      <c r="I49" s="739"/>
      <c r="J49" s="739"/>
      <c r="K49" s="739"/>
      <c r="L49" s="739"/>
      <c r="M49" s="740"/>
    </row>
    <row r="50" spans="1:13" x14ac:dyDescent="0.2">
      <c r="A50" s="738"/>
      <c r="B50" s="739"/>
      <c r="C50" s="739"/>
      <c r="D50" s="739"/>
      <c r="E50" s="739"/>
      <c r="F50" s="739"/>
      <c r="G50" s="739"/>
      <c r="H50" s="739"/>
      <c r="I50" s="739"/>
      <c r="J50" s="739"/>
      <c r="K50" s="739"/>
      <c r="L50" s="739"/>
      <c r="M50" s="740"/>
    </row>
    <row r="51" spans="1:13" x14ac:dyDescent="0.2">
      <c r="A51" s="738"/>
      <c r="B51" s="739"/>
      <c r="C51" s="739"/>
      <c r="D51" s="739"/>
      <c r="E51" s="739"/>
      <c r="F51" s="739"/>
      <c r="G51" s="739"/>
      <c r="H51" s="739"/>
      <c r="I51" s="739"/>
      <c r="J51" s="739"/>
      <c r="K51" s="739"/>
      <c r="L51" s="739"/>
      <c r="M51" s="740"/>
    </row>
    <row r="52" spans="1:13" x14ac:dyDescent="0.2">
      <c r="A52" s="738"/>
      <c r="B52" s="739"/>
      <c r="C52" s="739"/>
      <c r="D52" s="739"/>
      <c r="E52" s="739"/>
      <c r="F52" s="739"/>
      <c r="G52" s="739"/>
      <c r="H52" s="739"/>
      <c r="I52" s="739"/>
      <c r="J52" s="739"/>
      <c r="K52" s="739"/>
      <c r="L52" s="739"/>
      <c r="M52" s="740"/>
    </row>
    <row r="53" spans="1:13" x14ac:dyDescent="0.2">
      <c r="A53" s="738"/>
      <c r="B53" s="739"/>
      <c r="C53" s="739"/>
      <c r="D53" s="739"/>
      <c r="E53" s="739"/>
      <c r="F53" s="739"/>
      <c r="G53" s="739"/>
      <c r="H53" s="739"/>
      <c r="I53" s="739"/>
      <c r="J53" s="739"/>
      <c r="K53" s="739"/>
      <c r="L53" s="739"/>
      <c r="M53" s="740"/>
    </row>
    <row r="54" spans="1:13" x14ac:dyDescent="0.2">
      <c r="A54" s="738"/>
      <c r="B54" s="739"/>
      <c r="C54" s="739"/>
      <c r="D54" s="739"/>
      <c r="E54" s="739"/>
      <c r="F54" s="739"/>
      <c r="G54" s="739"/>
      <c r="H54" s="739"/>
      <c r="I54" s="739"/>
      <c r="J54" s="739"/>
      <c r="K54" s="739"/>
      <c r="L54" s="739"/>
      <c r="M54" s="740"/>
    </row>
    <row r="55" spans="1:13" x14ac:dyDescent="0.2">
      <c r="A55" s="738"/>
      <c r="B55" s="739"/>
      <c r="C55" s="739"/>
      <c r="D55" s="739"/>
      <c r="E55" s="739"/>
      <c r="F55" s="739"/>
      <c r="G55" s="739"/>
      <c r="H55" s="739"/>
      <c r="I55" s="739"/>
      <c r="J55" s="739"/>
      <c r="K55" s="739"/>
      <c r="L55" s="739"/>
      <c r="M55" s="740"/>
    </row>
    <row r="56" spans="1:13" x14ac:dyDescent="0.2">
      <c r="A56" s="738"/>
      <c r="B56" s="739"/>
      <c r="C56" s="739"/>
      <c r="D56" s="739"/>
      <c r="E56" s="739"/>
      <c r="F56" s="739"/>
      <c r="G56" s="739"/>
      <c r="H56" s="739"/>
      <c r="I56" s="739"/>
      <c r="J56" s="739"/>
      <c r="K56" s="739"/>
      <c r="L56" s="739"/>
      <c r="M56" s="740"/>
    </row>
    <row r="57" spans="1:13" x14ac:dyDescent="0.2">
      <c r="A57" s="741"/>
      <c r="B57" s="742"/>
      <c r="C57" s="742"/>
      <c r="D57" s="742"/>
      <c r="E57" s="742"/>
      <c r="F57" s="742"/>
      <c r="G57" s="742"/>
      <c r="H57" s="742"/>
      <c r="I57" s="742"/>
      <c r="J57" s="742"/>
      <c r="K57" s="742"/>
      <c r="L57" s="742"/>
      <c r="M57" s="743"/>
    </row>
    <row r="58" spans="1:13" ht="21" customHeight="1" x14ac:dyDescent="0.2">
      <c r="A58" s="214" t="s">
        <v>509</v>
      </c>
    </row>
    <row r="59" spans="1:13" x14ac:dyDescent="0.2">
      <c r="A59" s="735" t="s">
        <v>1230</v>
      </c>
      <c r="B59" s="736"/>
      <c r="C59" s="736"/>
      <c r="D59" s="736"/>
      <c r="E59" s="736"/>
      <c r="F59" s="736"/>
      <c r="G59" s="736"/>
      <c r="H59" s="736"/>
      <c r="I59" s="736"/>
      <c r="J59" s="736"/>
      <c r="K59" s="736"/>
      <c r="L59" s="736"/>
      <c r="M59" s="737"/>
    </row>
    <row r="60" spans="1:13" x14ac:dyDescent="0.2">
      <c r="A60" s="738"/>
      <c r="B60" s="739"/>
      <c r="C60" s="739"/>
      <c r="D60" s="739"/>
      <c r="E60" s="739"/>
      <c r="F60" s="739"/>
      <c r="G60" s="739"/>
      <c r="H60" s="739"/>
      <c r="I60" s="739"/>
      <c r="J60" s="739"/>
      <c r="K60" s="739"/>
      <c r="L60" s="739"/>
      <c r="M60" s="740"/>
    </row>
    <row r="61" spans="1:13" x14ac:dyDescent="0.2">
      <c r="A61" s="738"/>
      <c r="B61" s="739"/>
      <c r="C61" s="739"/>
      <c r="D61" s="739"/>
      <c r="E61" s="739"/>
      <c r="F61" s="739"/>
      <c r="G61" s="739"/>
      <c r="H61" s="739"/>
      <c r="I61" s="739"/>
      <c r="J61" s="739"/>
      <c r="K61" s="739"/>
      <c r="L61" s="739"/>
      <c r="M61" s="740"/>
    </row>
    <row r="62" spans="1:13" x14ac:dyDescent="0.2">
      <c r="A62" s="738"/>
      <c r="B62" s="739"/>
      <c r="C62" s="739"/>
      <c r="D62" s="739"/>
      <c r="E62" s="739"/>
      <c r="F62" s="739"/>
      <c r="G62" s="739"/>
      <c r="H62" s="739"/>
      <c r="I62" s="739"/>
      <c r="J62" s="739"/>
      <c r="K62" s="739"/>
      <c r="L62" s="739"/>
      <c r="M62" s="740"/>
    </row>
    <row r="63" spans="1:13" x14ac:dyDescent="0.2">
      <c r="A63" s="738"/>
      <c r="B63" s="739"/>
      <c r="C63" s="739"/>
      <c r="D63" s="739"/>
      <c r="E63" s="739"/>
      <c r="F63" s="739"/>
      <c r="G63" s="739"/>
      <c r="H63" s="739"/>
      <c r="I63" s="739"/>
      <c r="J63" s="739"/>
      <c r="K63" s="739"/>
      <c r="L63" s="739"/>
      <c r="M63" s="740"/>
    </row>
    <row r="64" spans="1:13" x14ac:dyDescent="0.2">
      <c r="A64" s="738"/>
      <c r="B64" s="739"/>
      <c r="C64" s="739"/>
      <c r="D64" s="739"/>
      <c r="E64" s="739"/>
      <c r="F64" s="739"/>
      <c r="G64" s="739"/>
      <c r="H64" s="739"/>
      <c r="I64" s="739"/>
      <c r="J64" s="739"/>
      <c r="K64" s="739"/>
      <c r="L64" s="739"/>
      <c r="M64" s="740"/>
    </row>
    <row r="65" spans="1:13" x14ac:dyDescent="0.2">
      <c r="A65" s="741"/>
      <c r="B65" s="742"/>
      <c r="C65" s="742"/>
      <c r="D65" s="742"/>
      <c r="E65" s="742"/>
      <c r="F65" s="742"/>
      <c r="G65" s="742"/>
      <c r="H65" s="742"/>
      <c r="I65" s="742"/>
      <c r="J65" s="742"/>
      <c r="K65" s="742"/>
      <c r="L65" s="742"/>
      <c r="M65" s="743"/>
    </row>
    <row r="67" spans="1:13" ht="33" x14ac:dyDescent="0.2">
      <c r="A67" s="728" t="s">
        <v>244</v>
      </c>
      <c r="B67" s="728"/>
      <c r="C67" s="728"/>
      <c r="D67" s="728"/>
      <c r="E67" s="728"/>
      <c r="F67" s="728"/>
      <c r="G67" s="728"/>
      <c r="H67" s="728"/>
      <c r="I67" s="728"/>
      <c r="J67" s="728"/>
      <c r="K67" s="728"/>
      <c r="L67" s="728"/>
      <c r="M67" s="728"/>
    </row>
    <row r="68" spans="1:13" ht="21" customHeight="1" x14ac:dyDescent="0.2">
      <c r="A68" s="214" t="s">
        <v>510</v>
      </c>
    </row>
    <row r="69" spans="1:13" x14ac:dyDescent="0.2">
      <c r="A69" s="735" t="s">
        <v>1229</v>
      </c>
      <c r="B69" s="736"/>
      <c r="C69" s="736"/>
      <c r="D69" s="736"/>
      <c r="E69" s="736"/>
      <c r="F69" s="736"/>
      <c r="G69" s="736"/>
      <c r="H69" s="736"/>
      <c r="I69" s="736"/>
      <c r="J69" s="736"/>
      <c r="K69" s="736"/>
      <c r="L69" s="736"/>
      <c r="M69" s="737"/>
    </row>
    <row r="70" spans="1:13" x14ac:dyDescent="0.2">
      <c r="A70" s="738"/>
      <c r="B70" s="739"/>
      <c r="C70" s="739"/>
      <c r="D70" s="739"/>
      <c r="E70" s="739"/>
      <c r="F70" s="739"/>
      <c r="G70" s="739"/>
      <c r="H70" s="739"/>
      <c r="I70" s="739"/>
      <c r="J70" s="739"/>
      <c r="K70" s="739"/>
      <c r="L70" s="739"/>
      <c r="M70" s="740"/>
    </row>
    <row r="71" spans="1:13" x14ac:dyDescent="0.2">
      <c r="A71" s="738"/>
      <c r="B71" s="739"/>
      <c r="C71" s="739"/>
      <c r="D71" s="739"/>
      <c r="E71" s="739"/>
      <c r="F71" s="739"/>
      <c r="G71" s="739"/>
      <c r="H71" s="739"/>
      <c r="I71" s="739"/>
      <c r="J71" s="739"/>
      <c r="K71" s="739"/>
      <c r="L71" s="739"/>
      <c r="M71" s="740"/>
    </row>
    <row r="72" spans="1:13" x14ac:dyDescent="0.2">
      <c r="A72" s="738"/>
      <c r="B72" s="739"/>
      <c r="C72" s="739"/>
      <c r="D72" s="739"/>
      <c r="E72" s="739"/>
      <c r="F72" s="739"/>
      <c r="G72" s="739"/>
      <c r="H72" s="739"/>
      <c r="I72" s="739"/>
      <c r="J72" s="739"/>
      <c r="K72" s="739"/>
      <c r="L72" s="739"/>
      <c r="M72" s="740"/>
    </row>
    <row r="73" spans="1:13" x14ac:dyDescent="0.2">
      <c r="A73" s="738"/>
      <c r="B73" s="739"/>
      <c r="C73" s="739"/>
      <c r="D73" s="739"/>
      <c r="E73" s="739"/>
      <c r="F73" s="739"/>
      <c r="G73" s="739"/>
      <c r="H73" s="739"/>
      <c r="I73" s="739"/>
      <c r="J73" s="739"/>
      <c r="K73" s="739"/>
      <c r="L73" s="739"/>
      <c r="M73" s="740"/>
    </row>
    <row r="74" spans="1:13" x14ac:dyDescent="0.2">
      <c r="A74" s="741"/>
      <c r="B74" s="742"/>
      <c r="C74" s="742"/>
      <c r="D74" s="742"/>
      <c r="E74" s="742"/>
      <c r="F74" s="742"/>
      <c r="G74" s="742"/>
      <c r="H74" s="742"/>
      <c r="I74" s="742"/>
      <c r="J74" s="742"/>
      <c r="K74" s="742"/>
      <c r="L74" s="742"/>
      <c r="M74" s="743"/>
    </row>
    <row r="75" spans="1:13" x14ac:dyDescent="0.2">
      <c r="A75" s="147" t="s">
        <v>511</v>
      </c>
    </row>
    <row r="76" spans="1:13" x14ac:dyDescent="0.2">
      <c r="A76" s="735" t="s">
        <v>717</v>
      </c>
      <c r="B76" s="736"/>
      <c r="C76" s="736"/>
      <c r="D76" s="736"/>
      <c r="E76" s="736"/>
      <c r="F76" s="736"/>
      <c r="G76" s="736"/>
      <c r="H76" s="736"/>
      <c r="I76" s="736"/>
      <c r="J76" s="736"/>
      <c r="K76" s="736"/>
      <c r="L76" s="736"/>
      <c r="M76" s="737"/>
    </row>
    <row r="77" spans="1:13" x14ac:dyDescent="0.2">
      <c r="A77" s="738"/>
      <c r="B77" s="739"/>
      <c r="C77" s="739"/>
      <c r="D77" s="739"/>
      <c r="E77" s="739"/>
      <c r="F77" s="739"/>
      <c r="G77" s="739"/>
      <c r="H77" s="739"/>
      <c r="I77" s="739"/>
      <c r="J77" s="739"/>
      <c r="K77" s="739"/>
      <c r="L77" s="739"/>
      <c r="M77" s="740"/>
    </row>
    <row r="78" spans="1:13" x14ac:dyDescent="0.2">
      <c r="A78" s="738"/>
      <c r="B78" s="739"/>
      <c r="C78" s="739"/>
      <c r="D78" s="739"/>
      <c r="E78" s="739"/>
      <c r="F78" s="739"/>
      <c r="G78" s="739"/>
      <c r="H78" s="739"/>
      <c r="I78" s="739"/>
      <c r="J78" s="739"/>
      <c r="K78" s="739"/>
      <c r="L78" s="739"/>
      <c r="M78" s="740"/>
    </row>
    <row r="79" spans="1:13" x14ac:dyDescent="0.2">
      <c r="A79" s="738"/>
      <c r="B79" s="739"/>
      <c r="C79" s="739"/>
      <c r="D79" s="739"/>
      <c r="E79" s="739"/>
      <c r="F79" s="739"/>
      <c r="G79" s="739"/>
      <c r="H79" s="739"/>
      <c r="I79" s="739"/>
      <c r="J79" s="739"/>
      <c r="K79" s="739"/>
      <c r="L79" s="739"/>
      <c r="M79" s="740"/>
    </row>
    <row r="80" spans="1:13" x14ac:dyDescent="0.2">
      <c r="A80" s="738"/>
      <c r="B80" s="739"/>
      <c r="C80" s="739"/>
      <c r="D80" s="739"/>
      <c r="E80" s="739"/>
      <c r="F80" s="739"/>
      <c r="G80" s="739"/>
      <c r="H80" s="739"/>
      <c r="I80" s="739"/>
      <c r="J80" s="739"/>
      <c r="K80" s="739"/>
      <c r="L80" s="739"/>
      <c r="M80" s="740"/>
    </row>
    <row r="81" spans="1:17" x14ac:dyDescent="0.2">
      <c r="A81" s="741"/>
      <c r="B81" s="742"/>
      <c r="C81" s="742"/>
      <c r="D81" s="742"/>
      <c r="E81" s="742"/>
      <c r="F81" s="742"/>
      <c r="G81" s="742"/>
      <c r="H81" s="742"/>
      <c r="I81" s="742"/>
      <c r="J81" s="742"/>
      <c r="K81" s="742"/>
      <c r="L81" s="742"/>
      <c r="M81" s="743"/>
    </row>
    <row r="82" spans="1:17" x14ac:dyDescent="0.2">
      <c r="A82" s="147" t="s">
        <v>512</v>
      </c>
    </row>
    <row r="83" spans="1:17" x14ac:dyDescent="0.2">
      <c r="A83" s="735" t="s">
        <v>1232</v>
      </c>
      <c r="B83" s="736"/>
      <c r="C83" s="736"/>
      <c r="D83" s="736"/>
      <c r="E83" s="736"/>
      <c r="F83" s="736"/>
      <c r="G83" s="736"/>
      <c r="H83" s="736"/>
      <c r="I83" s="736"/>
      <c r="J83" s="736"/>
      <c r="K83" s="736"/>
      <c r="L83" s="736"/>
      <c r="M83" s="737"/>
    </row>
    <row r="84" spans="1:17" x14ac:dyDescent="0.2">
      <c r="A84" s="738"/>
      <c r="B84" s="739"/>
      <c r="C84" s="739"/>
      <c r="D84" s="739"/>
      <c r="E84" s="739"/>
      <c r="F84" s="739"/>
      <c r="G84" s="739"/>
      <c r="H84" s="739"/>
      <c r="I84" s="739"/>
      <c r="J84" s="739"/>
      <c r="K84" s="739"/>
      <c r="L84" s="739"/>
      <c r="M84" s="740"/>
    </row>
    <row r="85" spans="1:17" x14ac:dyDescent="0.2">
      <c r="A85" s="738"/>
      <c r="B85" s="739"/>
      <c r="C85" s="739"/>
      <c r="D85" s="739"/>
      <c r="E85" s="739"/>
      <c r="F85" s="739"/>
      <c r="G85" s="739"/>
      <c r="H85" s="739"/>
      <c r="I85" s="739"/>
      <c r="J85" s="739"/>
      <c r="K85" s="739"/>
      <c r="L85" s="739"/>
      <c r="M85" s="740"/>
    </row>
    <row r="86" spans="1:17" x14ac:dyDescent="0.2">
      <c r="A86" s="738"/>
      <c r="B86" s="739"/>
      <c r="C86" s="739"/>
      <c r="D86" s="739"/>
      <c r="E86" s="739"/>
      <c r="F86" s="739"/>
      <c r="G86" s="739"/>
      <c r="H86" s="739"/>
      <c r="I86" s="739"/>
      <c r="J86" s="739"/>
      <c r="K86" s="739"/>
      <c r="L86" s="739"/>
      <c r="M86" s="740"/>
    </row>
    <row r="87" spans="1:17" x14ac:dyDescent="0.2">
      <c r="A87" s="738"/>
      <c r="B87" s="739"/>
      <c r="C87" s="739"/>
      <c r="D87" s="739"/>
      <c r="E87" s="739"/>
      <c r="F87" s="739"/>
      <c r="G87" s="739"/>
      <c r="H87" s="739"/>
      <c r="I87" s="739"/>
      <c r="J87" s="739"/>
      <c r="K87" s="739"/>
      <c r="L87" s="739"/>
      <c r="M87" s="740"/>
      <c r="Q87" s="147"/>
    </row>
    <row r="88" spans="1:17" x14ac:dyDescent="0.2">
      <c r="A88" s="741"/>
      <c r="B88" s="742"/>
      <c r="C88" s="742"/>
      <c r="D88" s="742"/>
      <c r="E88" s="742"/>
      <c r="F88" s="742"/>
      <c r="G88" s="742"/>
      <c r="H88" s="742"/>
      <c r="I88" s="742"/>
      <c r="J88" s="742"/>
      <c r="K88" s="742"/>
      <c r="L88" s="742"/>
      <c r="M88" s="743"/>
    </row>
    <row r="89" spans="1:17" x14ac:dyDescent="0.2">
      <c r="A89" s="147" t="s">
        <v>513</v>
      </c>
    </row>
    <row r="90" spans="1:17" x14ac:dyDescent="0.2">
      <c r="A90" s="735" t="s">
        <v>1203</v>
      </c>
      <c r="B90" s="736"/>
      <c r="C90" s="736"/>
      <c r="D90" s="736"/>
      <c r="E90" s="736"/>
      <c r="F90" s="736"/>
      <c r="G90" s="736"/>
      <c r="H90" s="736"/>
      <c r="I90" s="736"/>
      <c r="J90" s="736"/>
      <c r="K90" s="736"/>
      <c r="L90" s="736"/>
      <c r="M90" s="737"/>
    </row>
    <row r="91" spans="1:17" x14ac:dyDescent="0.2">
      <c r="A91" s="738"/>
      <c r="B91" s="739"/>
      <c r="C91" s="739"/>
      <c r="D91" s="739"/>
      <c r="E91" s="739"/>
      <c r="F91" s="739"/>
      <c r="G91" s="739"/>
      <c r="H91" s="739"/>
      <c r="I91" s="739"/>
      <c r="J91" s="739"/>
      <c r="K91" s="739"/>
      <c r="L91" s="739"/>
      <c r="M91" s="740"/>
    </row>
    <row r="92" spans="1:17" x14ac:dyDescent="0.2">
      <c r="A92" s="738"/>
      <c r="B92" s="739"/>
      <c r="C92" s="739"/>
      <c r="D92" s="739"/>
      <c r="E92" s="739"/>
      <c r="F92" s="739"/>
      <c r="G92" s="739"/>
      <c r="H92" s="739"/>
      <c r="I92" s="739"/>
      <c r="J92" s="739"/>
      <c r="K92" s="739"/>
      <c r="L92" s="739"/>
      <c r="M92" s="740"/>
    </row>
    <row r="93" spans="1:17" x14ac:dyDescent="0.2">
      <c r="A93" s="738"/>
      <c r="B93" s="739"/>
      <c r="C93" s="739"/>
      <c r="D93" s="739"/>
      <c r="E93" s="739"/>
      <c r="F93" s="739"/>
      <c r="G93" s="739"/>
      <c r="H93" s="739"/>
      <c r="I93" s="739"/>
      <c r="J93" s="739"/>
      <c r="K93" s="739"/>
      <c r="L93" s="739"/>
      <c r="M93" s="740"/>
    </row>
    <row r="94" spans="1:17" x14ac:dyDescent="0.2">
      <c r="A94" s="738"/>
      <c r="B94" s="739"/>
      <c r="C94" s="739"/>
      <c r="D94" s="739"/>
      <c r="E94" s="739"/>
      <c r="F94" s="739"/>
      <c r="G94" s="739"/>
      <c r="H94" s="739"/>
      <c r="I94" s="739"/>
      <c r="J94" s="739"/>
      <c r="K94" s="739"/>
      <c r="L94" s="739"/>
      <c r="M94" s="740"/>
    </row>
    <row r="95" spans="1:17" x14ac:dyDescent="0.2">
      <c r="A95" s="741"/>
      <c r="B95" s="742"/>
      <c r="C95" s="742"/>
      <c r="D95" s="742"/>
      <c r="E95" s="742"/>
      <c r="F95" s="742"/>
      <c r="G95" s="742"/>
      <c r="H95" s="742"/>
      <c r="I95" s="742"/>
      <c r="J95" s="742"/>
      <c r="K95" s="742"/>
      <c r="L95" s="742"/>
      <c r="M95" s="743"/>
    </row>
    <row r="96" spans="1:17" x14ac:dyDescent="0.2">
      <c r="A96" s="216" t="s">
        <v>294</v>
      </c>
      <c r="G96" s="191">
        <v>44926</v>
      </c>
      <c r="H96" s="156" t="s">
        <v>318</v>
      </c>
      <c r="I96" s="192">
        <f>+YEAR(G96)+1</f>
        <v>2023</v>
      </c>
    </row>
    <row r="97" spans="1:13" x14ac:dyDescent="0.2">
      <c r="A97" s="735" t="s">
        <v>1224</v>
      </c>
      <c r="B97" s="736"/>
      <c r="C97" s="736"/>
      <c r="D97" s="736"/>
      <c r="E97" s="736"/>
      <c r="F97" s="736"/>
      <c r="G97" s="736"/>
      <c r="H97" s="736"/>
      <c r="I97" s="736"/>
      <c r="J97" s="736"/>
      <c r="K97" s="736"/>
      <c r="L97" s="736"/>
      <c r="M97" s="737"/>
    </row>
    <row r="98" spans="1:13" x14ac:dyDescent="0.2">
      <c r="A98" s="738"/>
      <c r="B98" s="739"/>
      <c r="C98" s="739"/>
      <c r="D98" s="739"/>
      <c r="E98" s="739"/>
      <c r="F98" s="739"/>
      <c r="G98" s="739"/>
      <c r="H98" s="739"/>
      <c r="I98" s="739"/>
      <c r="J98" s="739"/>
      <c r="K98" s="739"/>
      <c r="L98" s="739"/>
      <c r="M98" s="740"/>
    </row>
    <row r="99" spans="1:13" x14ac:dyDescent="0.2">
      <c r="A99" s="738"/>
      <c r="B99" s="739"/>
      <c r="C99" s="739"/>
      <c r="D99" s="739"/>
      <c r="E99" s="739"/>
      <c r="F99" s="739"/>
      <c r="G99" s="739"/>
      <c r="H99" s="739"/>
      <c r="I99" s="739"/>
      <c r="J99" s="739"/>
      <c r="K99" s="739"/>
      <c r="L99" s="739"/>
      <c r="M99" s="740"/>
    </row>
    <row r="100" spans="1:13" x14ac:dyDescent="0.2">
      <c r="A100" s="741"/>
      <c r="B100" s="742"/>
      <c r="C100" s="742"/>
      <c r="D100" s="742"/>
      <c r="E100" s="742"/>
      <c r="F100" s="742"/>
      <c r="G100" s="742"/>
      <c r="H100" s="742"/>
      <c r="I100" s="742"/>
      <c r="J100" s="742"/>
      <c r="K100" s="742"/>
      <c r="L100" s="742"/>
      <c r="M100" s="743"/>
    </row>
    <row r="101" spans="1:13" x14ac:dyDescent="0.2">
      <c r="A101" s="147" t="s">
        <v>514</v>
      </c>
    </row>
    <row r="102" spans="1:13" x14ac:dyDescent="0.2">
      <c r="A102" s="217" t="s">
        <v>515</v>
      </c>
    </row>
    <row r="103" spans="1:13" x14ac:dyDescent="0.2">
      <c r="A103" s="735" t="s">
        <v>1225</v>
      </c>
      <c r="B103" s="744"/>
      <c r="C103" s="744"/>
      <c r="D103" s="744"/>
      <c r="E103" s="744"/>
      <c r="F103" s="744"/>
      <c r="G103" s="744"/>
      <c r="H103" s="744"/>
      <c r="I103" s="744"/>
      <c r="J103" s="744"/>
      <c r="K103" s="744"/>
      <c r="L103" s="744"/>
      <c r="M103" s="745"/>
    </row>
    <row r="104" spans="1:13" x14ac:dyDescent="0.2">
      <c r="A104" s="746"/>
      <c r="B104" s="747"/>
      <c r="C104" s="747"/>
      <c r="D104" s="747"/>
      <c r="E104" s="747"/>
      <c r="F104" s="747"/>
      <c r="G104" s="747"/>
      <c r="H104" s="747"/>
      <c r="I104" s="747"/>
      <c r="J104" s="747"/>
      <c r="K104" s="747"/>
      <c r="L104" s="747"/>
      <c r="M104" s="748"/>
    </row>
    <row r="105" spans="1:13" x14ac:dyDescent="0.2">
      <c r="A105" s="749"/>
      <c r="B105" s="750"/>
      <c r="C105" s="750"/>
      <c r="D105" s="750"/>
      <c r="E105" s="750"/>
      <c r="F105" s="750"/>
      <c r="G105" s="750"/>
      <c r="H105" s="750"/>
      <c r="I105" s="750"/>
      <c r="J105" s="750"/>
      <c r="K105" s="750"/>
      <c r="L105" s="750"/>
      <c r="M105" s="751"/>
    </row>
    <row r="106" spans="1:13" x14ac:dyDescent="0.2">
      <c r="A106" s="217" t="s">
        <v>516</v>
      </c>
    </row>
    <row r="107" spans="1:13" x14ac:dyDescent="0.2">
      <c r="A107" s="735" t="s">
        <v>1233</v>
      </c>
      <c r="B107" s="736"/>
      <c r="C107" s="736"/>
      <c r="D107" s="736"/>
      <c r="E107" s="736"/>
      <c r="F107" s="736"/>
      <c r="G107" s="736"/>
      <c r="H107" s="736"/>
      <c r="I107" s="736"/>
      <c r="J107" s="736"/>
      <c r="K107" s="736"/>
      <c r="L107" s="736"/>
      <c r="M107" s="737"/>
    </row>
    <row r="108" spans="1:13" x14ac:dyDescent="0.2">
      <c r="A108" s="738"/>
      <c r="B108" s="739"/>
      <c r="C108" s="739"/>
      <c r="D108" s="739"/>
      <c r="E108" s="739"/>
      <c r="F108" s="739"/>
      <c r="G108" s="739"/>
      <c r="H108" s="739"/>
      <c r="I108" s="739"/>
      <c r="J108" s="739"/>
      <c r="K108" s="739"/>
      <c r="L108" s="739"/>
      <c r="M108" s="740"/>
    </row>
    <row r="109" spans="1:13" ht="35.25" customHeight="1" x14ac:dyDescent="0.2">
      <c r="A109" s="741"/>
      <c r="B109" s="742"/>
      <c r="C109" s="742"/>
      <c r="D109" s="742"/>
      <c r="E109" s="742"/>
      <c r="F109" s="742"/>
      <c r="G109" s="742"/>
      <c r="H109" s="742"/>
      <c r="I109" s="742"/>
      <c r="J109" s="742"/>
      <c r="K109" s="742"/>
      <c r="L109" s="742"/>
      <c r="M109" s="743"/>
    </row>
    <row r="110" spans="1:13" x14ac:dyDescent="0.2">
      <c r="A110" s="217" t="s">
        <v>517</v>
      </c>
    </row>
    <row r="111" spans="1:13" x14ac:dyDescent="0.2">
      <c r="A111" s="735" t="s">
        <v>1234</v>
      </c>
      <c r="B111" s="744"/>
      <c r="C111" s="744"/>
      <c r="D111" s="744"/>
      <c r="E111" s="744"/>
      <c r="F111" s="744"/>
      <c r="G111" s="744"/>
      <c r="H111" s="744"/>
      <c r="I111" s="744"/>
      <c r="J111" s="744"/>
      <c r="K111" s="744"/>
      <c r="L111" s="744"/>
      <c r="M111" s="745"/>
    </row>
    <row r="112" spans="1:13" x14ac:dyDescent="0.2">
      <c r="A112" s="746"/>
      <c r="B112" s="747"/>
      <c r="C112" s="747"/>
      <c r="D112" s="747"/>
      <c r="E112" s="747"/>
      <c r="F112" s="747"/>
      <c r="G112" s="747"/>
      <c r="H112" s="747"/>
      <c r="I112" s="747"/>
      <c r="J112" s="747"/>
      <c r="K112" s="747"/>
      <c r="L112" s="747"/>
      <c r="M112" s="748"/>
    </row>
    <row r="113" spans="1:13" x14ac:dyDescent="0.2">
      <c r="A113" s="749"/>
      <c r="B113" s="750"/>
      <c r="C113" s="750"/>
      <c r="D113" s="750"/>
      <c r="E113" s="750"/>
      <c r="F113" s="750"/>
      <c r="G113" s="750"/>
      <c r="H113" s="750"/>
      <c r="I113" s="750"/>
      <c r="J113" s="750"/>
      <c r="K113" s="750"/>
      <c r="L113" s="750"/>
      <c r="M113" s="751"/>
    </row>
    <row r="114" spans="1:13" x14ac:dyDescent="0.2">
      <c r="A114" s="217" t="s">
        <v>518</v>
      </c>
    </row>
    <row r="115" spans="1:13" ht="20.25" customHeight="1" x14ac:dyDescent="0.2">
      <c r="A115" s="752" t="s">
        <v>719</v>
      </c>
      <c r="B115" s="753"/>
      <c r="C115" s="753"/>
      <c r="D115" s="753"/>
      <c r="E115" s="753"/>
      <c r="F115" s="753"/>
      <c r="G115" s="753"/>
      <c r="H115" s="753"/>
      <c r="I115" s="753"/>
      <c r="J115" s="753"/>
      <c r="K115" s="753"/>
      <c r="L115" s="753"/>
      <c r="M115" s="754"/>
    </row>
    <row r="116" spans="1:13" x14ac:dyDescent="0.2">
      <c r="A116" s="755"/>
      <c r="B116" s="756"/>
      <c r="C116" s="756"/>
      <c r="D116" s="756"/>
      <c r="E116" s="756"/>
      <c r="F116" s="756"/>
      <c r="G116" s="756"/>
      <c r="H116" s="756"/>
      <c r="I116" s="756"/>
      <c r="J116" s="756"/>
      <c r="K116" s="756"/>
      <c r="L116" s="756"/>
      <c r="M116" s="757"/>
    </row>
    <row r="117" spans="1:13" s="144" customFormat="1" ht="18.75" customHeight="1" x14ac:dyDescent="0.2">
      <c r="A117" s="758"/>
      <c r="B117" s="759"/>
      <c r="C117" s="759"/>
      <c r="D117" s="759"/>
      <c r="E117" s="759"/>
      <c r="F117" s="759"/>
      <c r="G117" s="759"/>
      <c r="H117" s="759"/>
      <c r="I117" s="759"/>
      <c r="J117" s="759"/>
      <c r="K117" s="759"/>
      <c r="L117" s="759"/>
      <c r="M117" s="760"/>
    </row>
    <row r="118" spans="1:13" x14ac:dyDescent="0.2">
      <c r="A118" s="217" t="s">
        <v>519</v>
      </c>
    </row>
    <row r="119" spans="1:13" x14ac:dyDescent="0.2">
      <c r="A119" s="735" t="s">
        <v>1226</v>
      </c>
      <c r="B119" s="744"/>
      <c r="C119" s="744"/>
      <c r="D119" s="744"/>
      <c r="E119" s="744"/>
      <c r="F119" s="744"/>
      <c r="G119" s="744"/>
      <c r="H119" s="744"/>
      <c r="I119" s="744"/>
      <c r="J119" s="744"/>
      <c r="K119" s="744"/>
      <c r="L119" s="744"/>
      <c r="M119" s="745"/>
    </row>
    <row r="120" spans="1:13" x14ac:dyDescent="0.2">
      <c r="A120" s="746"/>
      <c r="B120" s="747"/>
      <c r="C120" s="747"/>
      <c r="D120" s="747"/>
      <c r="E120" s="747"/>
      <c r="F120" s="747"/>
      <c r="G120" s="747"/>
      <c r="H120" s="747"/>
      <c r="I120" s="747"/>
      <c r="J120" s="747"/>
      <c r="K120" s="747"/>
      <c r="L120" s="747"/>
      <c r="M120" s="748"/>
    </row>
    <row r="121" spans="1:13" x14ac:dyDescent="0.2">
      <c r="A121" s="746"/>
      <c r="B121" s="747"/>
      <c r="C121" s="747"/>
      <c r="D121" s="747"/>
      <c r="E121" s="747"/>
      <c r="F121" s="747"/>
      <c r="G121" s="747"/>
      <c r="H121" s="747"/>
      <c r="I121" s="747"/>
      <c r="J121" s="747"/>
      <c r="K121" s="747"/>
      <c r="L121" s="747"/>
      <c r="M121" s="748"/>
    </row>
    <row r="122" spans="1:13" ht="57.75" customHeight="1" x14ac:dyDescent="0.2">
      <c r="A122" s="749"/>
      <c r="B122" s="750"/>
      <c r="C122" s="750"/>
      <c r="D122" s="750"/>
      <c r="E122" s="750"/>
      <c r="F122" s="750"/>
      <c r="G122" s="750"/>
      <c r="H122" s="750"/>
      <c r="I122" s="750"/>
      <c r="J122" s="750"/>
      <c r="K122" s="750"/>
      <c r="L122" s="750"/>
      <c r="M122" s="751"/>
    </row>
    <row r="124" spans="1:13" ht="33" x14ac:dyDescent="0.2">
      <c r="A124" s="728" t="s">
        <v>268</v>
      </c>
      <c r="B124" s="728"/>
      <c r="C124" s="728"/>
      <c r="D124" s="728"/>
      <c r="E124" s="728"/>
      <c r="F124" s="728"/>
      <c r="G124" s="728"/>
      <c r="H124" s="728"/>
      <c r="I124" s="728"/>
      <c r="J124" s="728"/>
      <c r="K124" s="728"/>
      <c r="L124" s="728"/>
      <c r="M124" s="728"/>
    </row>
    <row r="126" spans="1:13" ht="16" x14ac:dyDescent="0.2">
      <c r="A126" s="143" t="s">
        <v>269</v>
      </c>
      <c r="B126" s="144"/>
      <c r="C126" s="144"/>
      <c r="D126" s="143" t="s">
        <v>272</v>
      </c>
      <c r="E126" s="144"/>
      <c r="F126" s="144"/>
      <c r="G126" s="143" t="s">
        <v>276</v>
      </c>
      <c r="H126" s="144"/>
      <c r="I126" s="144"/>
      <c r="J126" s="143" t="s">
        <v>499</v>
      </c>
      <c r="K126" s="144"/>
      <c r="L126" s="144"/>
      <c r="M126" s="144"/>
    </row>
    <row r="127" spans="1:13" x14ac:dyDescent="0.2">
      <c r="A127" s="127" t="s">
        <v>270</v>
      </c>
      <c r="B127" s="138"/>
      <c r="D127" s="127" t="s">
        <v>273</v>
      </c>
      <c r="J127" s="142" t="s">
        <v>277</v>
      </c>
      <c r="K127" s="142"/>
    </row>
    <row r="128" spans="1:13" x14ac:dyDescent="0.2">
      <c r="A128" s="127" t="s">
        <v>271</v>
      </c>
      <c r="B128" s="138"/>
      <c r="D128" s="127" t="s">
        <v>274</v>
      </c>
      <c r="G128" s="139" t="s">
        <v>279</v>
      </c>
      <c r="H128" s="140"/>
      <c r="I128" s="140"/>
      <c r="J128" s="142" t="s">
        <v>278</v>
      </c>
      <c r="K128" s="142"/>
    </row>
    <row r="129" spans="1:13" x14ac:dyDescent="0.2">
      <c r="D129" s="127" t="s">
        <v>275</v>
      </c>
      <c r="G129" s="141" t="s">
        <v>280</v>
      </c>
    </row>
    <row r="130" spans="1:13" ht="20.25" hidden="1" customHeight="1" x14ac:dyDescent="0.2"/>
    <row r="131" spans="1:13" ht="16" hidden="1" x14ac:dyDescent="0.2">
      <c r="A131" s="143" t="s">
        <v>281</v>
      </c>
      <c r="B131" s="140"/>
      <c r="C131" s="140"/>
      <c r="J131" s="143" t="s">
        <v>485</v>
      </c>
    </row>
    <row r="132" spans="1:13" hidden="1" x14ac:dyDescent="0.2">
      <c r="A132" s="127" t="s">
        <v>42</v>
      </c>
      <c r="D132" s="127" t="s">
        <v>283</v>
      </c>
      <c r="G132" s="127" t="s">
        <v>285</v>
      </c>
      <c r="J132" s="127" t="s">
        <v>289</v>
      </c>
    </row>
    <row r="133" spans="1:13" hidden="1" x14ac:dyDescent="0.2">
      <c r="A133" s="127" t="s">
        <v>282</v>
      </c>
      <c r="D133" s="127" t="s">
        <v>284</v>
      </c>
      <c r="J133" s="127" t="s">
        <v>484</v>
      </c>
    </row>
    <row r="134" spans="1:13" x14ac:dyDescent="0.2">
      <c r="J134" s="127"/>
    </row>
    <row r="135" spans="1:13" ht="16" x14ac:dyDescent="0.2">
      <c r="A135" s="143" t="s">
        <v>286</v>
      </c>
      <c r="B135" s="140"/>
      <c r="C135" s="140"/>
    </row>
    <row r="136" spans="1:13" x14ac:dyDescent="0.2">
      <c r="A136" s="127" t="s">
        <v>287</v>
      </c>
      <c r="D136" s="127" t="s">
        <v>263</v>
      </c>
      <c r="G136" s="127" t="s">
        <v>264</v>
      </c>
      <c r="J136" s="127" t="s">
        <v>288</v>
      </c>
    </row>
    <row r="139" spans="1:13" ht="33" x14ac:dyDescent="0.2">
      <c r="A139" s="728" t="s">
        <v>520</v>
      </c>
      <c r="B139" s="728"/>
      <c r="C139" s="728"/>
      <c r="D139" s="728"/>
      <c r="E139" s="728"/>
      <c r="F139" s="728"/>
      <c r="G139" s="728"/>
      <c r="H139" s="728"/>
      <c r="I139" s="728"/>
      <c r="J139" s="728"/>
      <c r="K139" s="728"/>
      <c r="L139" s="728"/>
      <c r="M139" s="728"/>
    </row>
    <row r="141" spans="1:13" x14ac:dyDescent="0.2">
      <c r="A141" s="127" t="s">
        <v>521</v>
      </c>
      <c r="D141" s="127" t="s">
        <v>501</v>
      </c>
      <c r="G141" s="127" t="s">
        <v>522</v>
      </c>
      <c r="K141" t="s">
        <v>712</v>
      </c>
    </row>
    <row r="142" spans="1:13" x14ac:dyDescent="0.2">
      <c r="A142" s="127" t="s">
        <v>339</v>
      </c>
      <c r="D142" s="127" t="s">
        <v>523</v>
      </c>
      <c r="E142" s="266" t="s">
        <v>507</v>
      </c>
      <c r="F142" s="266"/>
      <c r="G142" s="266"/>
      <c r="H142" s="266"/>
      <c r="I142" s="266"/>
      <c r="J142" s="266"/>
    </row>
    <row r="145" spans="1:13" ht="33" x14ac:dyDescent="0.2">
      <c r="A145" s="728" t="s">
        <v>541</v>
      </c>
      <c r="B145" s="728"/>
      <c r="C145" s="728"/>
      <c r="D145" s="728"/>
      <c r="E145" s="728"/>
      <c r="F145" s="728"/>
      <c r="G145" s="728"/>
      <c r="H145" s="728"/>
      <c r="I145" s="728"/>
      <c r="J145" s="728"/>
      <c r="K145" s="728"/>
      <c r="L145" s="728"/>
      <c r="M145" s="728"/>
    </row>
    <row r="146" spans="1:13" x14ac:dyDescent="0.2">
      <c r="A146" s="194" t="s">
        <v>542</v>
      </c>
    </row>
    <row r="147" spans="1:13" x14ac:dyDescent="0.2">
      <c r="A147" s="63"/>
      <c r="D147" s="123" t="s">
        <v>248</v>
      </c>
      <c r="E147" s="700" t="s">
        <v>249</v>
      </c>
      <c r="F147" s="700"/>
      <c r="G147" s="700"/>
      <c r="H147" s="700" t="s">
        <v>250</v>
      </c>
      <c r="I147" s="700"/>
      <c r="J147" s="700"/>
      <c r="K147" s="700"/>
      <c r="L147" s="700"/>
      <c r="M147" s="700"/>
    </row>
    <row r="148" spans="1:13" x14ac:dyDescent="0.2">
      <c r="A148" s="699" t="s">
        <v>247</v>
      </c>
      <c r="B148" s="699"/>
      <c r="C148" s="699"/>
      <c r="D148" s="281"/>
      <c r="E148" s="701"/>
      <c r="F148" s="701"/>
      <c r="G148" s="701"/>
      <c r="H148" s="701"/>
      <c r="I148" s="701"/>
      <c r="J148" s="701"/>
      <c r="K148" s="701"/>
      <c r="L148" s="701"/>
      <c r="M148" s="701"/>
    </row>
  </sheetData>
  <mergeCells count="31">
    <mergeCell ref="A97:M100"/>
    <mergeCell ref="A69:M74"/>
    <mergeCell ref="A76:M81"/>
    <mergeCell ref="A83:M88"/>
    <mergeCell ref="A90:M95"/>
    <mergeCell ref="A119:M122"/>
    <mergeCell ref="A139:M139"/>
    <mergeCell ref="A103:M105"/>
    <mergeCell ref="A107:M109"/>
    <mergeCell ref="A111:M113"/>
    <mergeCell ref="A115:M117"/>
    <mergeCell ref="A124:M124"/>
    <mergeCell ref="E2:M2"/>
    <mergeCell ref="A9:M9"/>
    <mergeCell ref="G4:H4"/>
    <mergeCell ref="A28:M28"/>
    <mergeCell ref="A67:M67"/>
    <mergeCell ref="A6:F6"/>
    <mergeCell ref="G6:M6"/>
    <mergeCell ref="D11:M11"/>
    <mergeCell ref="D13:M13"/>
    <mergeCell ref="D15:M15"/>
    <mergeCell ref="A30:M57"/>
    <mergeCell ref="A59:M65"/>
    <mergeCell ref="A18:M18"/>
    <mergeCell ref="A145:M145"/>
    <mergeCell ref="E147:G147"/>
    <mergeCell ref="H147:M147"/>
    <mergeCell ref="A148:C148"/>
    <mergeCell ref="E148:G148"/>
    <mergeCell ref="H148:M148"/>
  </mergeCells>
  <printOptions horizontalCentered="1" verticalCentered="1"/>
  <pageMargins left="0.70866141732283472" right="0.70866141732283472" top="0.74803149606299213" bottom="0.74803149606299213" header="0.31496062992125984" footer="0.31496062992125984"/>
  <pageSetup paperSize="9" scale="56" fitToHeight="0" orientation="portrait" r:id="rId1"/>
  <headerFooter>
    <oddFooter>&amp;LCHU REUNION&amp;C&amp;A
&amp;P/&amp;N
&amp;R&amp;F</oddFooter>
  </headerFooter>
  <rowBreaks count="1" manualBreakCount="1">
    <brk id="88" max="13" man="1"/>
  </rowBreaks>
  <drawing r:id="rId2"/>
  <legacyDrawing r:id="rId3"/>
  <mc:AlternateContent xmlns:mc="http://schemas.openxmlformats.org/markup-compatibility/2006">
    <mc:Choice Requires="x14">
      <controls>
        <mc:AlternateContent xmlns:mc="http://schemas.openxmlformats.org/markup-compatibility/2006">
          <mc:Choice Requires="x14">
            <control shapeId="15361" r:id="rId4" name="Check Box 1">
              <controlPr defaultSize="0" autoFill="0" autoLine="0" autoPict="0" altText="test">
                <anchor moveWithCells="1">
                  <from>
                    <xdr:col>2</xdr:col>
                    <xdr:colOff>749300</xdr:colOff>
                    <xdr:row>18</xdr:row>
                    <xdr:rowOff>165100</xdr:rowOff>
                  </from>
                  <to>
                    <xdr:col>3</xdr:col>
                    <xdr:colOff>279400</xdr:colOff>
                    <xdr:row>20</xdr:row>
                    <xdr:rowOff>25400</xdr:rowOff>
                  </to>
                </anchor>
              </controlPr>
            </control>
          </mc:Choice>
        </mc:AlternateContent>
        <mc:AlternateContent xmlns:mc="http://schemas.openxmlformats.org/markup-compatibility/2006">
          <mc:Choice Requires="x14">
            <control shapeId="15363" r:id="rId5" name="Check Box 3">
              <controlPr defaultSize="0" autoFill="0" autoLine="0" autoPict="0">
                <anchor moveWithCells="1">
                  <from>
                    <xdr:col>2</xdr:col>
                    <xdr:colOff>749300</xdr:colOff>
                    <xdr:row>19</xdr:row>
                    <xdr:rowOff>165100</xdr:rowOff>
                  </from>
                  <to>
                    <xdr:col>3</xdr:col>
                    <xdr:colOff>279400</xdr:colOff>
                    <xdr:row>21</xdr:row>
                    <xdr:rowOff>25400</xdr:rowOff>
                  </to>
                </anchor>
              </controlPr>
            </control>
          </mc:Choice>
        </mc:AlternateContent>
        <mc:AlternateContent xmlns:mc="http://schemas.openxmlformats.org/markup-compatibility/2006">
          <mc:Choice Requires="x14">
            <control shapeId="15364" r:id="rId6" name="Check Box 4">
              <controlPr defaultSize="0" autoFill="0" autoLine="0" autoPict="0">
                <anchor moveWithCells="1">
                  <from>
                    <xdr:col>6</xdr:col>
                    <xdr:colOff>749300</xdr:colOff>
                    <xdr:row>18</xdr:row>
                    <xdr:rowOff>165100</xdr:rowOff>
                  </from>
                  <to>
                    <xdr:col>7</xdr:col>
                    <xdr:colOff>279400</xdr:colOff>
                    <xdr:row>20</xdr:row>
                    <xdr:rowOff>25400</xdr:rowOff>
                  </to>
                </anchor>
              </controlPr>
            </control>
          </mc:Choice>
        </mc:AlternateContent>
        <mc:AlternateContent xmlns:mc="http://schemas.openxmlformats.org/markup-compatibility/2006">
          <mc:Choice Requires="x14">
            <control shapeId="15365" r:id="rId7" name="Check Box 5">
              <controlPr defaultSize="0" autoFill="0" autoLine="0" autoPict="0">
                <anchor moveWithCells="1">
                  <from>
                    <xdr:col>6</xdr:col>
                    <xdr:colOff>749300</xdr:colOff>
                    <xdr:row>19</xdr:row>
                    <xdr:rowOff>165100</xdr:rowOff>
                  </from>
                  <to>
                    <xdr:col>7</xdr:col>
                    <xdr:colOff>279400</xdr:colOff>
                    <xdr:row>21</xdr:row>
                    <xdr:rowOff>25400</xdr:rowOff>
                  </to>
                </anchor>
              </controlPr>
            </control>
          </mc:Choice>
        </mc:AlternateContent>
        <mc:AlternateContent xmlns:mc="http://schemas.openxmlformats.org/markup-compatibility/2006">
          <mc:Choice Requires="x14">
            <control shapeId="15366" r:id="rId8" name="Check Box 6">
              <controlPr defaultSize="0" autoFill="0" autoLine="0" autoPict="0">
                <anchor moveWithCells="1">
                  <from>
                    <xdr:col>11</xdr:col>
                    <xdr:colOff>749300</xdr:colOff>
                    <xdr:row>18</xdr:row>
                    <xdr:rowOff>165100</xdr:rowOff>
                  </from>
                  <to>
                    <xdr:col>12</xdr:col>
                    <xdr:colOff>279400</xdr:colOff>
                    <xdr:row>20</xdr:row>
                    <xdr:rowOff>25400</xdr:rowOff>
                  </to>
                </anchor>
              </controlPr>
            </control>
          </mc:Choice>
        </mc:AlternateContent>
        <mc:AlternateContent xmlns:mc="http://schemas.openxmlformats.org/markup-compatibility/2006">
          <mc:Choice Requires="x14">
            <control shapeId="15368" r:id="rId9" name="Check Box 8">
              <controlPr defaultSize="0" autoFill="0" autoLine="0" autoPict="0">
                <anchor moveWithCells="1">
                  <from>
                    <xdr:col>2</xdr:col>
                    <xdr:colOff>749300</xdr:colOff>
                    <xdr:row>22</xdr:row>
                    <xdr:rowOff>165100</xdr:rowOff>
                  </from>
                  <to>
                    <xdr:col>3</xdr:col>
                    <xdr:colOff>279400</xdr:colOff>
                    <xdr:row>24</xdr:row>
                    <xdr:rowOff>25400</xdr:rowOff>
                  </to>
                </anchor>
              </controlPr>
            </control>
          </mc:Choice>
        </mc:AlternateContent>
        <mc:AlternateContent xmlns:mc="http://schemas.openxmlformats.org/markup-compatibility/2006">
          <mc:Choice Requires="x14">
            <control shapeId="15369" r:id="rId10" name="Check Box 9">
              <controlPr defaultSize="0" autoFill="0" autoLine="0" autoPict="0">
                <anchor moveWithCells="1">
                  <from>
                    <xdr:col>2</xdr:col>
                    <xdr:colOff>749300</xdr:colOff>
                    <xdr:row>22</xdr:row>
                    <xdr:rowOff>165100</xdr:rowOff>
                  </from>
                  <to>
                    <xdr:col>3</xdr:col>
                    <xdr:colOff>279400</xdr:colOff>
                    <xdr:row>24</xdr:row>
                    <xdr:rowOff>25400</xdr:rowOff>
                  </to>
                </anchor>
              </controlPr>
            </control>
          </mc:Choice>
        </mc:AlternateContent>
        <mc:AlternateContent xmlns:mc="http://schemas.openxmlformats.org/markup-compatibility/2006">
          <mc:Choice Requires="x14">
            <control shapeId="15370" r:id="rId11" name="Check Box 10">
              <controlPr defaultSize="0" autoFill="0" autoLine="0" autoPict="0">
                <anchor moveWithCells="1">
                  <from>
                    <xdr:col>2</xdr:col>
                    <xdr:colOff>749300</xdr:colOff>
                    <xdr:row>23</xdr:row>
                    <xdr:rowOff>165100</xdr:rowOff>
                  </from>
                  <to>
                    <xdr:col>3</xdr:col>
                    <xdr:colOff>279400</xdr:colOff>
                    <xdr:row>25</xdr:row>
                    <xdr:rowOff>25400</xdr:rowOff>
                  </to>
                </anchor>
              </controlPr>
            </control>
          </mc:Choice>
        </mc:AlternateContent>
        <mc:AlternateContent xmlns:mc="http://schemas.openxmlformats.org/markup-compatibility/2006">
          <mc:Choice Requires="x14">
            <control shapeId="15372" r:id="rId12" name="Check Box 12">
              <controlPr defaultSize="0" autoFill="0" autoLine="0" autoPict="0">
                <anchor moveWithCells="1">
                  <from>
                    <xdr:col>6</xdr:col>
                    <xdr:colOff>749300</xdr:colOff>
                    <xdr:row>22</xdr:row>
                    <xdr:rowOff>165100</xdr:rowOff>
                  </from>
                  <to>
                    <xdr:col>7</xdr:col>
                    <xdr:colOff>279400</xdr:colOff>
                    <xdr:row>24</xdr:row>
                    <xdr:rowOff>25400</xdr:rowOff>
                  </to>
                </anchor>
              </controlPr>
            </control>
          </mc:Choice>
        </mc:AlternateContent>
        <mc:AlternateContent xmlns:mc="http://schemas.openxmlformats.org/markup-compatibility/2006">
          <mc:Choice Requires="x14">
            <control shapeId="15373" r:id="rId13" name="Check Box 13">
              <controlPr defaultSize="0" autoFill="0" autoLine="0" autoPict="0">
                <anchor moveWithCells="1">
                  <from>
                    <xdr:col>6</xdr:col>
                    <xdr:colOff>749300</xdr:colOff>
                    <xdr:row>22</xdr:row>
                    <xdr:rowOff>165100</xdr:rowOff>
                  </from>
                  <to>
                    <xdr:col>7</xdr:col>
                    <xdr:colOff>279400</xdr:colOff>
                    <xdr:row>24</xdr:row>
                    <xdr:rowOff>25400</xdr:rowOff>
                  </to>
                </anchor>
              </controlPr>
            </control>
          </mc:Choice>
        </mc:AlternateContent>
        <mc:AlternateContent xmlns:mc="http://schemas.openxmlformats.org/markup-compatibility/2006">
          <mc:Choice Requires="x14">
            <control shapeId="15374" r:id="rId14" name="Check Box 14">
              <controlPr defaultSize="0" autoFill="0" autoLine="0" autoPict="0">
                <anchor moveWithCells="1">
                  <from>
                    <xdr:col>6</xdr:col>
                    <xdr:colOff>749300</xdr:colOff>
                    <xdr:row>23</xdr:row>
                    <xdr:rowOff>165100</xdr:rowOff>
                  </from>
                  <to>
                    <xdr:col>7</xdr:col>
                    <xdr:colOff>279400</xdr:colOff>
                    <xdr:row>25</xdr:row>
                    <xdr:rowOff>25400</xdr:rowOff>
                  </to>
                </anchor>
              </controlPr>
            </control>
          </mc:Choice>
        </mc:AlternateContent>
        <mc:AlternateContent xmlns:mc="http://schemas.openxmlformats.org/markup-compatibility/2006">
          <mc:Choice Requires="x14">
            <control shapeId="15379" r:id="rId15" name="Check Box 19">
              <controlPr defaultSize="0" autoFill="0" autoLine="0" autoPict="0">
                <anchor moveWithCells="1">
                  <from>
                    <xdr:col>1</xdr:col>
                    <xdr:colOff>330200</xdr:colOff>
                    <xdr:row>125</xdr:row>
                    <xdr:rowOff>177800</xdr:rowOff>
                  </from>
                  <to>
                    <xdr:col>1</xdr:col>
                    <xdr:colOff>635000</xdr:colOff>
                    <xdr:row>127</xdr:row>
                    <xdr:rowOff>25400</xdr:rowOff>
                  </to>
                </anchor>
              </controlPr>
            </control>
          </mc:Choice>
        </mc:AlternateContent>
        <mc:AlternateContent xmlns:mc="http://schemas.openxmlformats.org/markup-compatibility/2006">
          <mc:Choice Requires="x14">
            <control shapeId="15380" r:id="rId16" name="Check Box 20">
              <controlPr defaultSize="0" autoFill="0" autoLine="0" autoPict="0">
                <anchor moveWithCells="1">
                  <from>
                    <xdr:col>1</xdr:col>
                    <xdr:colOff>330200</xdr:colOff>
                    <xdr:row>126</xdr:row>
                    <xdr:rowOff>177800</xdr:rowOff>
                  </from>
                  <to>
                    <xdr:col>1</xdr:col>
                    <xdr:colOff>635000</xdr:colOff>
                    <xdr:row>128</xdr:row>
                    <xdr:rowOff>38100</xdr:rowOff>
                  </to>
                </anchor>
              </controlPr>
            </control>
          </mc:Choice>
        </mc:AlternateContent>
        <mc:AlternateContent xmlns:mc="http://schemas.openxmlformats.org/markup-compatibility/2006">
          <mc:Choice Requires="x14">
            <control shapeId="15382" r:id="rId17" name="Check Box 22">
              <controlPr defaultSize="0" autoFill="0" autoLine="0" autoPict="0">
                <anchor moveWithCells="1">
                  <from>
                    <xdr:col>4</xdr:col>
                    <xdr:colOff>254000</xdr:colOff>
                    <xdr:row>126</xdr:row>
                    <xdr:rowOff>0</xdr:rowOff>
                  </from>
                  <to>
                    <xdr:col>4</xdr:col>
                    <xdr:colOff>546100</xdr:colOff>
                    <xdr:row>127</xdr:row>
                    <xdr:rowOff>63500</xdr:rowOff>
                  </to>
                </anchor>
              </controlPr>
            </control>
          </mc:Choice>
        </mc:AlternateContent>
        <mc:AlternateContent xmlns:mc="http://schemas.openxmlformats.org/markup-compatibility/2006">
          <mc:Choice Requires="x14">
            <control shapeId="15384" r:id="rId18" name="Check Box 24">
              <controlPr defaultSize="0" autoFill="0" autoLine="0" autoPict="0">
                <anchor moveWithCells="1">
                  <from>
                    <xdr:col>4</xdr:col>
                    <xdr:colOff>254000</xdr:colOff>
                    <xdr:row>127</xdr:row>
                    <xdr:rowOff>0</xdr:rowOff>
                  </from>
                  <to>
                    <xdr:col>4</xdr:col>
                    <xdr:colOff>546100</xdr:colOff>
                    <xdr:row>128</xdr:row>
                    <xdr:rowOff>63500</xdr:rowOff>
                  </to>
                </anchor>
              </controlPr>
            </control>
          </mc:Choice>
        </mc:AlternateContent>
        <mc:AlternateContent xmlns:mc="http://schemas.openxmlformats.org/markup-compatibility/2006">
          <mc:Choice Requires="x14">
            <control shapeId="15385" r:id="rId19" name="Check Box 25">
              <controlPr defaultSize="0" autoFill="0" autoLine="0" autoPict="0">
                <anchor moveWithCells="1">
                  <from>
                    <xdr:col>4</xdr:col>
                    <xdr:colOff>254000</xdr:colOff>
                    <xdr:row>128</xdr:row>
                    <xdr:rowOff>0</xdr:rowOff>
                  </from>
                  <to>
                    <xdr:col>4</xdr:col>
                    <xdr:colOff>546100</xdr:colOff>
                    <xdr:row>133</xdr:row>
                    <xdr:rowOff>63500</xdr:rowOff>
                  </to>
                </anchor>
              </controlPr>
            </control>
          </mc:Choice>
        </mc:AlternateContent>
        <mc:AlternateContent xmlns:mc="http://schemas.openxmlformats.org/markup-compatibility/2006">
          <mc:Choice Requires="x14">
            <control shapeId="15386" r:id="rId20" name="Check Box 26">
              <controlPr defaultSize="0" autoFill="0" autoLine="0" autoPict="0">
                <anchor moveWithCells="1">
                  <from>
                    <xdr:col>8</xdr:col>
                    <xdr:colOff>279400</xdr:colOff>
                    <xdr:row>124</xdr:row>
                    <xdr:rowOff>165100</xdr:rowOff>
                  </from>
                  <to>
                    <xdr:col>8</xdr:col>
                    <xdr:colOff>571500</xdr:colOff>
                    <xdr:row>126</xdr:row>
                    <xdr:rowOff>25400</xdr:rowOff>
                  </to>
                </anchor>
              </controlPr>
            </control>
          </mc:Choice>
        </mc:AlternateContent>
        <mc:AlternateContent xmlns:mc="http://schemas.openxmlformats.org/markup-compatibility/2006">
          <mc:Choice Requires="x14">
            <control shapeId="15387" r:id="rId21" name="Check Box 27">
              <controlPr defaultSize="0" autoFill="0" autoLine="0" autoPict="0">
                <anchor moveWithCells="1">
                  <from>
                    <xdr:col>12</xdr:col>
                    <xdr:colOff>50800</xdr:colOff>
                    <xdr:row>124</xdr:row>
                    <xdr:rowOff>177800</xdr:rowOff>
                  </from>
                  <to>
                    <xdr:col>12</xdr:col>
                    <xdr:colOff>342900</xdr:colOff>
                    <xdr:row>126</xdr:row>
                    <xdr:rowOff>38100</xdr:rowOff>
                  </to>
                </anchor>
              </controlPr>
            </control>
          </mc:Choice>
        </mc:AlternateContent>
        <mc:AlternateContent xmlns:mc="http://schemas.openxmlformats.org/markup-compatibility/2006">
          <mc:Choice Requires="x14">
            <control shapeId="15388" r:id="rId22" name="Check Box 28">
              <controlPr defaultSize="0" autoFill="0" autoLine="0" autoPict="0">
                <anchor moveWithCells="1">
                  <from>
                    <xdr:col>8</xdr:col>
                    <xdr:colOff>76200</xdr:colOff>
                    <xdr:row>126</xdr:row>
                    <xdr:rowOff>177800</xdr:rowOff>
                  </from>
                  <to>
                    <xdr:col>8</xdr:col>
                    <xdr:colOff>368300</xdr:colOff>
                    <xdr:row>128</xdr:row>
                    <xdr:rowOff>38100</xdr:rowOff>
                  </to>
                </anchor>
              </controlPr>
            </control>
          </mc:Choice>
        </mc:AlternateContent>
        <mc:AlternateContent xmlns:mc="http://schemas.openxmlformats.org/markup-compatibility/2006">
          <mc:Choice Requires="x14">
            <control shapeId="15397" r:id="rId23" name="Check Box 37">
              <controlPr defaultSize="0" autoFill="0" autoLine="0" autoPict="0">
                <anchor moveWithCells="1">
                  <from>
                    <xdr:col>5</xdr:col>
                    <xdr:colOff>215900</xdr:colOff>
                    <xdr:row>134</xdr:row>
                    <xdr:rowOff>177800</xdr:rowOff>
                  </from>
                  <to>
                    <xdr:col>5</xdr:col>
                    <xdr:colOff>520700</xdr:colOff>
                    <xdr:row>136</xdr:row>
                    <xdr:rowOff>38100</xdr:rowOff>
                  </to>
                </anchor>
              </controlPr>
            </control>
          </mc:Choice>
        </mc:AlternateContent>
        <mc:AlternateContent xmlns:mc="http://schemas.openxmlformats.org/markup-compatibility/2006">
          <mc:Choice Requires="x14">
            <control shapeId="15398" r:id="rId24" name="Check Box 38">
              <controlPr defaultSize="0" autoFill="0" autoLine="0" autoPict="0">
                <anchor moveWithCells="1">
                  <from>
                    <xdr:col>2</xdr:col>
                    <xdr:colOff>215900</xdr:colOff>
                    <xdr:row>134</xdr:row>
                    <xdr:rowOff>177800</xdr:rowOff>
                  </from>
                  <to>
                    <xdr:col>2</xdr:col>
                    <xdr:colOff>520700</xdr:colOff>
                    <xdr:row>136</xdr:row>
                    <xdr:rowOff>38100</xdr:rowOff>
                  </to>
                </anchor>
              </controlPr>
            </control>
          </mc:Choice>
        </mc:AlternateContent>
        <mc:AlternateContent xmlns:mc="http://schemas.openxmlformats.org/markup-compatibility/2006">
          <mc:Choice Requires="x14">
            <control shapeId="15399" r:id="rId25" name="Check Box 39">
              <controlPr defaultSize="0" autoFill="0" autoLine="0" autoPict="0">
                <anchor moveWithCells="1">
                  <from>
                    <xdr:col>8</xdr:col>
                    <xdr:colOff>215900</xdr:colOff>
                    <xdr:row>134</xdr:row>
                    <xdr:rowOff>177800</xdr:rowOff>
                  </from>
                  <to>
                    <xdr:col>8</xdr:col>
                    <xdr:colOff>520700</xdr:colOff>
                    <xdr:row>136</xdr:row>
                    <xdr:rowOff>25400</xdr:rowOff>
                  </to>
                </anchor>
              </controlPr>
            </control>
          </mc:Choice>
        </mc:AlternateContent>
        <mc:AlternateContent xmlns:mc="http://schemas.openxmlformats.org/markup-compatibility/2006">
          <mc:Choice Requires="x14">
            <control shapeId="15400" r:id="rId26" name="Check Box 40">
              <controlPr defaultSize="0" autoFill="0" autoLine="0" autoPict="0">
                <anchor moveWithCells="1">
                  <from>
                    <xdr:col>11</xdr:col>
                    <xdr:colOff>558800</xdr:colOff>
                    <xdr:row>134</xdr:row>
                    <xdr:rowOff>177800</xdr:rowOff>
                  </from>
                  <to>
                    <xdr:col>12</xdr:col>
                    <xdr:colOff>101600</xdr:colOff>
                    <xdr:row>136</xdr:row>
                    <xdr:rowOff>25400</xdr:rowOff>
                  </to>
                </anchor>
              </controlPr>
            </control>
          </mc:Choice>
        </mc:AlternateContent>
        <mc:AlternateContent xmlns:mc="http://schemas.openxmlformats.org/markup-compatibility/2006">
          <mc:Choice Requires="x14">
            <control shapeId="15406" r:id="rId27" name="Check Box 46">
              <controlPr defaultSize="0" autoFill="0" autoLine="0" autoPict="0">
                <anchor moveWithCells="1">
                  <from>
                    <xdr:col>11</xdr:col>
                    <xdr:colOff>749300</xdr:colOff>
                    <xdr:row>22</xdr:row>
                    <xdr:rowOff>165100</xdr:rowOff>
                  </from>
                  <to>
                    <xdr:col>12</xdr:col>
                    <xdr:colOff>279400</xdr:colOff>
                    <xdr:row>24</xdr:row>
                    <xdr:rowOff>25400</xdr:rowOff>
                  </to>
                </anchor>
              </controlPr>
            </control>
          </mc:Choice>
        </mc:AlternateContent>
        <mc:AlternateContent xmlns:mc="http://schemas.openxmlformats.org/markup-compatibility/2006">
          <mc:Choice Requires="x14">
            <control shapeId="15407" r:id="rId28" name="Check Box 47">
              <controlPr defaultSize="0" autoFill="0" autoLine="0" autoPict="0">
                <anchor moveWithCells="1">
                  <from>
                    <xdr:col>11</xdr:col>
                    <xdr:colOff>749300</xdr:colOff>
                    <xdr:row>22</xdr:row>
                    <xdr:rowOff>165100</xdr:rowOff>
                  </from>
                  <to>
                    <xdr:col>12</xdr:col>
                    <xdr:colOff>279400</xdr:colOff>
                    <xdr:row>24</xdr:row>
                    <xdr:rowOff>25400</xdr:rowOff>
                  </to>
                </anchor>
              </controlPr>
            </control>
          </mc:Choice>
        </mc:AlternateContent>
        <mc:AlternateContent xmlns:mc="http://schemas.openxmlformats.org/markup-compatibility/2006">
          <mc:Choice Requires="x14">
            <control shapeId="15412" r:id="rId29" name="Check Box 52">
              <controlPr defaultSize="0" autoFill="0" autoLine="0" autoPict="0">
                <anchor moveWithCells="1">
                  <from>
                    <xdr:col>4</xdr:col>
                    <xdr:colOff>558800</xdr:colOff>
                    <xdr:row>139</xdr:row>
                    <xdr:rowOff>165100</xdr:rowOff>
                  </from>
                  <to>
                    <xdr:col>5</xdr:col>
                    <xdr:colOff>101600</xdr:colOff>
                    <xdr:row>141</xdr:row>
                    <xdr:rowOff>25400</xdr:rowOff>
                  </to>
                </anchor>
              </controlPr>
            </control>
          </mc:Choice>
        </mc:AlternateContent>
        <mc:AlternateContent xmlns:mc="http://schemas.openxmlformats.org/markup-compatibility/2006">
          <mc:Choice Requires="x14">
            <control shapeId="15413" r:id="rId30" name="Check Box 53">
              <controlPr defaultSize="0" autoFill="0" autoLine="0" autoPict="0">
                <anchor moveWithCells="1">
                  <from>
                    <xdr:col>2</xdr:col>
                    <xdr:colOff>571500</xdr:colOff>
                    <xdr:row>139</xdr:row>
                    <xdr:rowOff>177800</xdr:rowOff>
                  </from>
                  <to>
                    <xdr:col>3</xdr:col>
                    <xdr:colOff>101600</xdr:colOff>
                    <xdr:row>141</xdr:row>
                    <xdr:rowOff>50800</xdr:rowOff>
                  </to>
                </anchor>
              </controlPr>
            </control>
          </mc:Choice>
        </mc:AlternateContent>
        <mc:AlternateContent xmlns:mc="http://schemas.openxmlformats.org/markup-compatibility/2006">
          <mc:Choice Requires="x14">
            <control shapeId="15414" r:id="rId31" name="Check Box 54">
              <controlPr defaultSize="0" autoFill="0" autoLine="0" autoPict="0">
                <anchor moveWithCells="1">
                  <from>
                    <xdr:col>8</xdr:col>
                    <xdr:colOff>571500</xdr:colOff>
                    <xdr:row>139</xdr:row>
                    <xdr:rowOff>177800</xdr:rowOff>
                  </from>
                  <to>
                    <xdr:col>9</xdr:col>
                    <xdr:colOff>101600</xdr:colOff>
                    <xdr:row>141</xdr:row>
                    <xdr:rowOff>38100</xdr:rowOff>
                  </to>
                </anchor>
              </controlPr>
            </control>
          </mc:Choice>
        </mc:AlternateContent>
        <mc:AlternateContent xmlns:mc="http://schemas.openxmlformats.org/markup-compatibility/2006">
          <mc:Choice Requires="x14">
            <control shapeId="15415" r:id="rId32" name="Check Box 55">
              <controlPr defaultSize="0" autoFill="0" autoLine="0" autoPict="0">
                <anchor moveWithCells="1">
                  <from>
                    <xdr:col>2</xdr:col>
                    <xdr:colOff>558800</xdr:colOff>
                    <xdr:row>141</xdr:row>
                    <xdr:rowOff>0</xdr:rowOff>
                  </from>
                  <to>
                    <xdr:col>3</xdr:col>
                    <xdr:colOff>101600</xdr:colOff>
                    <xdr:row>142</xdr:row>
                    <xdr:rowOff>63500</xdr:rowOff>
                  </to>
                </anchor>
              </controlPr>
            </control>
          </mc:Choice>
        </mc:AlternateContent>
        <mc:AlternateContent xmlns:mc="http://schemas.openxmlformats.org/markup-compatibility/2006">
          <mc:Choice Requires="x14">
            <control shapeId="15416" r:id="rId33" name="Check Box 56">
              <controlPr defaultSize="0" autoFill="0" autoLine="0" autoPict="0">
                <anchor moveWithCells="1">
                  <from>
                    <xdr:col>11</xdr:col>
                    <xdr:colOff>749300</xdr:colOff>
                    <xdr:row>23</xdr:row>
                    <xdr:rowOff>165100</xdr:rowOff>
                  </from>
                  <to>
                    <xdr:col>12</xdr:col>
                    <xdr:colOff>279400</xdr:colOff>
                    <xdr:row>25</xdr:row>
                    <xdr:rowOff>25400</xdr:rowOff>
                  </to>
                </anchor>
              </controlPr>
            </control>
          </mc:Choice>
        </mc:AlternateContent>
        <mc:AlternateContent xmlns:mc="http://schemas.openxmlformats.org/markup-compatibility/2006">
          <mc:Choice Requires="x14">
            <control shapeId="15417" r:id="rId34" name="Check Box 57">
              <controlPr defaultSize="0" autoFill="0" autoLine="0" autoPict="0">
                <anchor moveWithCells="1">
                  <from>
                    <xdr:col>11</xdr:col>
                    <xdr:colOff>546100</xdr:colOff>
                    <xdr:row>139</xdr:row>
                    <xdr:rowOff>177800</xdr:rowOff>
                  </from>
                  <to>
                    <xdr:col>12</xdr:col>
                    <xdr:colOff>76200</xdr:colOff>
                    <xdr:row>141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tabColor theme="0" tint="-0.34998626667073579"/>
    <pageSetUpPr fitToPage="1"/>
  </sheetPr>
  <dimension ref="A2:M64"/>
  <sheetViews>
    <sheetView topLeftCell="A25" workbookViewId="0">
      <selection activeCell="E13" sqref="E13"/>
    </sheetView>
  </sheetViews>
  <sheetFormatPr baseColWidth="10" defaultRowHeight="15" x14ac:dyDescent="0.2"/>
  <cols>
    <col min="1" max="1" width="46.83203125" customWidth="1"/>
    <col min="2" max="2" width="22.1640625" bestFit="1" customWidth="1"/>
    <col min="3" max="3" width="19" bestFit="1" customWidth="1"/>
    <col min="4" max="4" width="19.83203125" customWidth="1"/>
    <col min="5" max="5" width="21.1640625" customWidth="1"/>
    <col min="6" max="6" width="19.6640625" customWidth="1"/>
    <col min="7" max="7" width="13.6640625" style="68" customWidth="1"/>
  </cols>
  <sheetData>
    <row r="2" spans="1:11" ht="33.75" customHeight="1" x14ac:dyDescent="0.2">
      <c r="C2" s="763" t="str">
        <f>+"2- Synthèse financière"</f>
        <v>2- Synthèse financière</v>
      </c>
      <c r="D2" s="763"/>
      <c r="E2" s="763"/>
      <c r="F2" s="769"/>
    </row>
    <row r="5" spans="1:11" ht="18.75" customHeight="1" x14ac:dyDescent="0.25">
      <c r="C5" s="285" t="s">
        <v>245</v>
      </c>
      <c r="D5" s="305"/>
      <c r="E5" s="155" t="s">
        <v>524</v>
      </c>
      <c r="F5" s="276" t="str">
        <f>+Cod_projet</f>
        <v>P_21_00x</v>
      </c>
      <c r="G5" s="119"/>
      <c r="H5" s="119"/>
      <c r="I5" s="119"/>
      <c r="J5" s="119"/>
      <c r="K5" s="119"/>
    </row>
    <row r="6" spans="1:11" x14ac:dyDescent="0.2">
      <c r="G6"/>
    </row>
    <row r="7" spans="1:11" ht="33.75" customHeight="1" x14ac:dyDescent="0.2">
      <c r="A7" s="770" t="s">
        <v>242</v>
      </c>
      <c r="B7" s="770"/>
      <c r="C7" s="770"/>
      <c r="D7" s="771" t="str">
        <f>+'1- Avant Projet'!G6</f>
        <v>Biologie moléculaire - Plateforme NGS : réinternalisation des examens</v>
      </c>
      <c r="E7" s="771"/>
      <c r="F7" s="771"/>
      <c r="G7" s="119"/>
      <c r="H7" s="119"/>
      <c r="I7" s="119"/>
      <c r="J7" s="119"/>
    </row>
    <row r="8" spans="1:11" x14ac:dyDescent="0.2">
      <c r="G8"/>
    </row>
    <row r="10" spans="1:11" x14ac:dyDescent="0.2">
      <c r="B10" s="66" t="s">
        <v>37</v>
      </c>
      <c r="C10" s="145" t="s">
        <v>290</v>
      </c>
      <c r="D10" s="65">
        <f>+'2.1 INVEST'!D28</f>
        <v>369362</v>
      </c>
    </row>
    <row r="11" spans="1:11" x14ac:dyDescent="0.2">
      <c r="B11" s="66" t="s">
        <v>48</v>
      </c>
      <c r="C11" s="67"/>
      <c r="D11" s="65">
        <v>0</v>
      </c>
    </row>
    <row r="13" spans="1:11" x14ac:dyDescent="0.2">
      <c r="B13" s="38">
        <f>An_1</f>
        <v>2023</v>
      </c>
      <c r="C13" s="38">
        <f>+B13+1</f>
        <v>2024</v>
      </c>
      <c r="D13" s="38">
        <f t="shared" ref="D13:F13" si="0">+C13+1</f>
        <v>2025</v>
      </c>
      <c r="E13" s="38">
        <f t="shared" si="0"/>
        <v>2026</v>
      </c>
      <c r="F13" s="38">
        <f t="shared" si="0"/>
        <v>2027</v>
      </c>
    </row>
    <row r="14" spans="1:11" x14ac:dyDescent="0.2">
      <c r="A14" s="1" t="s">
        <v>710</v>
      </c>
      <c r="B14" s="269"/>
      <c r="C14" s="269"/>
      <c r="D14" s="269"/>
      <c r="E14" s="269"/>
      <c r="F14" s="269"/>
    </row>
    <row r="15" spans="1:11" x14ac:dyDescent="0.2">
      <c r="A15" s="200"/>
      <c r="B15" s="201"/>
      <c r="C15" s="201"/>
      <c r="D15" s="201"/>
      <c r="E15" s="201"/>
      <c r="F15" s="201"/>
    </row>
    <row r="16" spans="1:11" x14ac:dyDescent="0.2">
      <c r="A16" s="1" t="s">
        <v>38</v>
      </c>
      <c r="B16" s="65">
        <f>+'2.3 RH'!D43</f>
        <v>150000</v>
      </c>
      <c r="C16" s="65">
        <f>+'2.3 RH'!E43</f>
        <v>150000</v>
      </c>
      <c r="D16" s="65">
        <f>+'2.3 RH'!F43</f>
        <v>150000</v>
      </c>
      <c r="E16" s="65">
        <f>+'2.3 RH'!G43</f>
        <v>150000</v>
      </c>
      <c r="F16" s="65">
        <f>+'2.3 RH'!H43</f>
        <v>150000</v>
      </c>
      <c r="G16" s="768" t="s">
        <v>290</v>
      </c>
    </row>
    <row r="17" spans="1:7" x14ac:dyDescent="0.2">
      <c r="A17" s="1" t="s">
        <v>39</v>
      </c>
      <c r="B17" s="65">
        <f>+'2.3 RH'!D51</f>
        <v>277000</v>
      </c>
      <c r="C17" s="65">
        <f>+'2.3 RH'!E51</f>
        <v>277000</v>
      </c>
      <c r="D17" s="65">
        <f>+'2.3 RH'!F51</f>
        <v>277000</v>
      </c>
      <c r="E17" s="65">
        <f>+'2.3 RH'!G51</f>
        <v>277000</v>
      </c>
      <c r="F17" s="65">
        <f>+'2.3 RH'!H51</f>
        <v>277000</v>
      </c>
      <c r="G17" s="768"/>
    </row>
    <row r="18" spans="1:7" x14ac:dyDescent="0.2">
      <c r="A18" s="1" t="s">
        <v>1302</v>
      </c>
      <c r="B18" s="65"/>
      <c r="C18" s="65"/>
      <c r="D18" s="65"/>
      <c r="E18" s="65"/>
      <c r="F18" s="65"/>
      <c r="G18" s="146" t="s">
        <v>290</v>
      </c>
    </row>
    <row r="19" spans="1:7" hidden="1" x14ac:dyDescent="0.2">
      <c r="A19" s="673" t="s">
        <v>1307</v>
      </c>
      <c r="B19" s="65">
        <v>0</v>
      </c>
      <c r="C19" s="65">
        <v>0</v>
      </c>
      <c r="D19" s="65">
        <f>B19</f>
        <v>0</v>
      </c>
      <c r="E19" s="65">
        <f>B19</f>
        <v>0</v>
      </c>
      <c r="F19" s="65">
        <f>B19</f>
        <v>0</v>
      </c>
      <c r="G19" s="146"/>
    </row>
    <row r="20" spans="1:7" hidden="1" x14ac:dyDescent="0.2">
      <c r="A20" s="673" t="s">
        <v>1306</v>
      </c>
      <c r="B20" s="65">
        <f>'2.4 Dep Med et MDT'!B20</f>
        <v>0</v>
      </c>
      <c r="C20" s="65">
        <f>B20</f>
        <v>0</v>
      </c>
      <c r="D20" s="65">
        <f>B20</f>
        <v>0</v>
      </c>
      <c r="E20" s="65">
        <f>B20</f>
        <v>0</v>
      </c>
      <c r="F20" s="65">
        <f>B20</f>
        <v>0</v>
      </c>
      <c r="G20" s="146"/>
    </row>
    <row r="21" spans="1:7" x14ac:dyDescent="0.2">
      <c r="A21" s="673" t="s">
        <v>1350</v>
      </c>
      <c r="B21" s="65">
        <f>'2.4 Dep Med et MDT'!B19+'2.4 Dep Med et MDT'!B21</f>
        <v>761714.10000000009</v>
      </c>
      <c r="C21" s="65">
        <f>B21</f>
        <v>761714.10000000009</v>
      </c>
      <c r="D21" s="65">
        <f>B21</f>
        <v>761714.10000000009</v>
      </c>
      <c r="E21" s="65">
        <f>B21</f>
        <v>761714.10000000009</v>
      </c>
      <c r="F21" s="65">
        <f>B21</f>
        <v>761714.10000000009</v>
      </c>
      <c r="G21" s="146"/>
    </row>
    <row r="22" spans="1:7" x14ac:dyDescent="0.2">
      <c r="A22" s="693" t="s">
        <v>697</v>
      </c>
      <c r="B22" s="692">
        <f>'2.4 Dep Med et MDT'!B26</f>
        <v>30000</v>
      </c>
      <c r="C22" s="692">
        <f>'2.4 Dep Med et MDT'!C26</f>
        <v>30000</v>
      </c>
      <c r="D22" s="692">
        <f>'2.4 Dep Med et MDT'!D26</f>
        <v>30000</v>
      </c>
      <c r="E22" s="692">
        <f>'2.4 Dep Med et MDT'!E26</f>
        <v>30000</v>
      </c>
      <c r="F22" s="692">
        <f>'2.4 Dep Med et MDT'!F26</f>
        <v>30000</v>
      </c>
      <c r="G22" s="146"/>
    </row>
    <row r="23" spans="1:7" x14ac:dyDescent="0.2">
      <c r="A23" s="1" t="s">
        <v>40</v>
      </c>
      <c r="B23" s="65">
        <f>'2.5 T3 Dep hot et induites'!C27</f>
        <v>13000</v>
      </c>
      <c r="C23" s="65">
        <f>'2.5 T3 Dep hot et induites'!D27</f>
        <v>13000</v>
      </c>
      <c r="D23" s="65">
        <f>'2.5 T3 Dep hot et induites'!E27</f>
        <v>13000</v>
      </c>
      <c r="E23" s="65">
        <f>'2.5 T3 Dep hot et induites'!F27</f>
        <v>13000</v>
      </c>
      <c r="F23" s="65">
        <f>'2.5 T3 Dep hot et induites'!G27</f>
        <v>13000</v>
      </c>
      <c r="G23" s="146" t="s">
        <v>290</v>
      </c>
    </row>
    <row r="24" spans="1:7" x14ac:dyDescent="0.2">
      <c r="A24" s="1" t="s">
        <v>41</v>
      </c>
      <c r="B24" s="65">
        <f>'2.1 INVEST'!G37</f>
        <v>47167.6</v>
      </c>
      <c r="C24" s="65">
        <f>'2.1 INVEST'!H37</f>
        <v>47167.6</v>
      </c>
      <c r="D24" s="65">
        <f>'2.1 INVEST'!I37</f>
        <v>47167.6</v>
      </c>
      <c r="E24" s="65">
        <f>'2.1 INVEST'!J37</f>
        <v>47167.6</v>
      </c>
      <c r="F24" s="65">
        <f>'2.1 INVEST'!K37</f>
        <v>47167.6</v>
      </c>
      <c r="G24" s="146" t="s">
        <v>290</v>
      </c>
    </row>
    <row r="25" spans="1:7" x14ac:dyDescent="0.2">
      <c r="A25" s="272" t="s">
        <v>1277</v>
      </c>
      <c r="B25" s="273">
        <f>'Calculateur de prêt'!J23</f>
        <v>13339.077439359397</v>
      </c>
      <c r="C25" s="273">
        <f>'Calculateur de prêt'!J35</f>
        <v>11913.683816817309</v>
      </c>
      <c r="D25" s="273">
        <f>'Calculateur de prêt'!J47</f>
        <v>10301.115579202527</v>
      </c>
      <c r="E25" s="273">
        <f>'Calculateur de prêt'!J59</f>
        <v>8626.1911510404934</v>
      </c>
      <c r="F25" s="273">
        <f>'Calculateur de prêt'!J71</f>
        <v>6886.4992889438827</v>
      </c>
      <c r="G25" s="146"/>
    </row>
    <row r="26" spans="1:7" ht="20" thickBot="1" x14ac:dyDescent="0.3">
      <c r="A26" s="202" t="s">
        <v>30</v>
      </c>
      <c r="B26" s="203">
        <f>SUM(B16:B25)</f>
        <v>1292220.7774393596</v>
      </c>
      <c r="C26" s="203">
        <f t="shared" ref="C26:F26" si="1">SUM(C16:C25)</f>
        <v>1290795.3838168175</v>
      </c>
      <c r="D26" s="203">
        <f t="shared" si="1"/>
        <v>1289182.8155792027</v>
      </c>
      <c r="E26" s="203">
        <f t="shared" si="1"/>
        <v>1287507.8911510408</v>
      </c>
      <c r="F26" s="203">
        <f t="shared" si="1"/>
        <v>1285768.199288944</v>
      </c>
    </row>
    <row r="27" spans="1:7" x14ac:dyDescent="0.2">
      <c r="B27" s="64"/>
      <c r="C27" s="64"/>
      <c r="D27" s="64"/>
      <c r="E27" s="64"/>
      <c r="F27" s="64"/>
    </row>
    <row r="28" spans="1:7" hidden="1" x14ac:dyDescent="0.2">
      <c r="A28" s="1" t="s">
        <v>42</v>
      </c>
      <c r="B28" s="65">
        <f>+'2.4 Dep Med et MDT'!B44</f>
        <v>0</v>
      </c>
      <c r="C28" s="65">
        <f>'2.4 Dep Med et MDT'!C44+B28</f>
        <v>0</v>
      </c>
      <c r="D28" s="65">
        <f>'2.4 Dep Med et MDT'!D44+C28</f>
        <v>0</v>
      </c>
      <c r="E28" s="65">
        <f>'2.4 Dep Med et MDT'!E44+D28</f>
        <v>0</v>
      </c>
      <c r="F28" s="65">
        <f>'2.4 Dep Med et MDT'!F44+E28</f>
        <v>0</v>
      </c>
      <c r="G28" s="768" t="s">
        <v>290</v>
      </c>
    </row>
    <row r="29" spans="1:7" hidden="1" x14ac:dyDescent="0.2">
      <c r="A29" s="1" t="s">
        <v>282</v>
      </c>
      <c r="B29" s="65">
        <f>'2.4 Dep Med et MDT'!B45</f>
        <v>0</v>
      </c>
      <c r="C29" s="65">
        <f>'2.4 Dep Med et MDT'!C45+B29</f>
        <v>0</v>
      </c>
      <c r="D29" s="65">
        <f>'2.4 Dep Med et MDT'!D45+C29</f>
        <v>0</v>
      </c>
      <c r="E29" s="65">
        <f>'2.4 Dep Med et MDT'!E45+D29</f>
        <v>0</v>
      </c>
      <c r="F29" s="65">
        <f>'2.4 Dep Med et MDT'!F45+E29</f>
        <v>0</v>
      </c>
      <c r="G29" s="768"/>
    </row>
    <row r="30" spans="1:7" hidden="1" x14ac:dyDescent="0.2">
      <c r="A30" s="1" t="s">
        <v>500</v>
      </c>
      <c r="B30" s="65">
        <f>'2.4 Dep Med et MDT'!B46</f>
        <v>0</v>
      </c>
      <c r="C30" s="65">
        <f>'2.4 Dep Med et MDT'!C46+B30</f>
        <v>0</v>
      </c>
      <c r="D30" s="65">
        <f>'2.4 Dep Med et MDT'!D46+C30</f>
        <v>0</v>
      </c>
      <c r="E30" s="65">
        <f>'2.4 Dep Med et MDT'!E46+D30</f>
        <v>0</v>
      </c>
      <c r="F30" s="65">
        <f>'2.4 Dep Med et MDT'!F46+E30</f>
        <v>0</v>
      </c>
      <c r="G30" s="768"/>
    </row>
    <row r="31" spans="1:7" hidden="1" x14ac:dyDescent="0.2">
      <c r="A31" s="1" t="s">
        <v>43</v>
      </c>
      <c r="B31" s="65">
        <f>'2.5 T3 Dep hot et induites'!C39</f>
        <v>0</v>
      </c>
      <c r="C31" s="65">
        <f>'2.5 T3 Dep hot et induites'!D39+B31</f>
        <v>0</v>
      </c>
      <c r="D31" s="65">
        <f>'2.5 T3 Dep hot et induites'!E39+C31</f>
        <v>0</v>
      </c>
      <c r="E31" s="65">
        <f>'2.5 T3 Dep hot et induites'!F39+D31</f>
        <v>0</v>
      </c>
      <c r="F31" s="65">
        <f>'2.5 T3 Dep hot et induites'!G39+E31</f>
        <v>0</v>
      </c>
      <c r="G31" s="306" t="s">
        <v>290</v>
      </c>
    </row>
    <row r="32" spans="1:7" hidden="1" x14ac:dyDescent="0.2">
      <c r="A32" s="1" t="s">
        <v>486</v>
      </c>
      <c r="B32" s="65">
        <f>'2.5 T3 Dep hot et induites'!C40</f>
        <v>0</v>
      </c>
      <c r="C32" s="65">
        <f>'2.5 T3 Dep hot et induites'!D40+B32</f>
        <v>0</v>
      </c>
      <c r="D32" s="65">
        <f>'2.5 T3 Dep hot et induites'!E40+C32</f>
        <v>0</v>
      </c>
      <c r="E32" s="65">
        <f>'2.5 T3 Dep hot et induites'!F40+D32</f>
        <v>0</v>
      </c>
      <c r="F32" s="65">
        <f>'2.5 T3 Dep hot et induites'!G40+E32</f>
        <v>0</v>
      </c>
      <c r="G32" s="209"/>
    </row>
    <row r="33" spans="1:9" hidden="1" x14ac:dyDescent="0.2">
      <c r="A33" s="1"/>
      <c r="B33" s="65"/>
      <c r="C33" s="65"/>
      <c r="D33" s="65"/>
      <c r="E33" s="65"/>
      <c r="F33" s="65"/>
      <c r="G33" s="209"/>
    </row>
    <row r="34" spans="1:9" hidden="1" x14ac:dyDescent="0.2">
      <c r="A34" s="1"/>
      <c r="B34" s="65"/>
      <c r="C34" s="65"/>
      <c r="D34" s="65"/>
      <c r="E34" s="65"/>
      <c r="F34" s="65"/>
      <c r="G34" s="209"/>
    </row>
    <row r="35" spans="1:9" ht="21" thickBot="1" x14ac:dyDescent="0.3">
      <c r="A35" s="208" t="s">
        <v>1351</v>
      </c>
      <c r="B35" s="203">
        <f>0.2*B26</f>
        <v>258444.15548787193</v>
      </c>
      <c r="C35" s="203">
        <f t="shared" ref="C35:F35" si="2">0.2*C26</f>
        <v>258159.07676336353</v>
      </c>
      <c r="D35" s="203">
        <f t="shared" si="2"/>
        <v>257836.56311584054</v>
      </c>
      <c r="E35" s="203">
        <f t="shared" si="2"/>
        <v>257501.57823020816</v>
      </c>
      <c r="F35" s="203">
        <f t="shared" si="2"/>
        <v>257153.6398577888</v>
      </c>
      <c r="G35" s="209"/>
    </row>
    <row r="36" spans="1:9" ht="16" thickBot="1" x14ac:dyDescent="0.25">
      <c r="B36" s="64"/>
      <c r="C36" s="64"/>
      <c r="D36" s="64"/>
      <c r="E36" s="64"/>
      <c r="F36" s="64"/>
      <c r="G36" s="209"/>
      <c r="I36" t="s">
        <v>1300</v>
      </c>
    </row>
    <row r="37" spans="1:9" ht="25" thickBot="1" x14ac:dyDescent="0.35">
      <c r="A37" s="286" t="s">
        <v>44</v>
      </c>
      <c r="B37" s="287">
        <f>B35+B26</f>
        <v>1550664.9329272315</v>
      </c>
      <c r="C37" s="287">
        <f>C35+C26</f>
        <v>1548954.4605801811</v>
      </c>
      <c r="D37" s="287">
        <f>D35+D26</f>
        <v>1547019.3786950433</v>
      </c>
      <c r="E37" s="287">
        <f>E35+E26</f>
        <v>1545009.469381249</v>
      </c>
      <c r="F37" s="288">
        <f>F35+F26</f>
        <v>1542921.8391467328</v>
      </c>
    </row>
    <row r="38" spans="1:9" x14ac:dyDescent="0.2">
      <c r="B38" s="64"/>
      <c r="C38" s="64"/>
      <c r="D38" s="64"/>
      <c r="E38" s="64"/>
      <c r="F38" s="64"/>
    </row>
    <row r="39" spans="1:9" ht="20" customHeight="1" thickBot="1" x14ac:dyDescent="0.25">
      <c r="A39" s="1" t="s">
        <v>1274</v>
      </c>
      <c r="B39" s="65">
        <f>'NGS Projet recap financier'!M56</f>
        <v>1638147.2</v>
      </c>
      <c r="C39" s="65">
        <f>B39</f>
        <v>1638147.2</v>
      </c>
      <c r="D39" s="65">
        <f>C39</f>
        <v>1638147.2</v>
      </c>
      <c r="E39" s="65">
        <f>D39</f>
        <v>1638147.2</v>
      </c>
      <c r="F39" s="65">
        <f>E39</f>
        <v>1638147.2</v>
      </c>
      <c r="G39" s="306" t="s">
        <v>290</v>
      </c>
    </row>
    <row r="40" spans="1:9" hidden="1" x14ac:dyDescent="0.2">
      <c r="A40" s="1" t="s">
        <v>45</v>
      </c>
      <c r="B40" s="65">
        <f>'2.2 ACTIVITE RECETTES'!D81</f>
        <v>0</v>
      </c>
      <c r="C40" s="65">
        <f>'2.2 ACTIVITE RECETTES'!E81+B40</f>
        <v>0</v>
      </c>
      <c r="D40" s="65">
        <f>'2.2 ACTIVITE RECETTES'!F81+C40</f>
        <v>0</v>
      </c>
      <c r="E40" s="65">
        <f>'2.2 ACTIVITE RECETTES'!G81+D40</f>
        <v>0</v>
      </c>
      <c r="F40" s="65">
        <f>'2.2 ACTIVITE RECETTES'!H81+E40</f>
        <v>0</v>
      </c>
    </row>
    <row r="41" spans="1:9" hidden="1" x14ac:dyDescent="0.2">
      <c r="A41" s="1" t="s">
        <v>494</v>
      </c>
      <c r="B41" s="65"/>
      <c r="C41" s="65"/>
      <c r="D41" s="65"/>
      <c r="E41" s="65"/>
      <c r="F41" s="65"/>
    </row>
    <row r="42" spans="1:9" hidden="1" x14ac:dyDescent="0.2">
      <c r="A42" s="1" t="str">
        <f>+'2.2 ACTIVITE RECETTES'!B85</f>
        <v>Dotations et subventions exploitation</v>
      </c>
      <c r="B42" s="65">
        <f>+'2.2 ACTIVITE RECETTES'!D85</f>
        <v>0</v>
      </c>
      <c r="C42" s="65">
        <f>+'2.2 ACTIVITE RECETTES'!E85+B42</f>
        <v>0</v>
      </c>
      <c r="D42" s="65">
        <f>+'2.2 ACTIVITE RECETTES'!F85+C42</f>
        <v>0</v>
      </c>
      <c r="E42" s="65">
        <f>+'2.2 ACTIVITE RECETTES'!G85+D42</f>
        <v>0</v>
      </c>
      <c r="F42" s="65">
        <f>+'2.2 ACTIVITE RECETTES'!H85+E42</f>
        <v>0</v>
      </c>
    </row>
    <row r="43" spans="1:9" ht="16" hidden="1" thickBot="1" x14ac:dyDescent="0.25">
      <c r="A43" s="272" t="str">
        <f>+'2.2 ACTIVITE RECETTES'!B87</f>
        <v>Autres recettes</v>
      </c>
      <c r="B43" s="273">
        <f>+'2.2 ACTIVITE RECETTES'!D87</f>
        <v>0</v>
      </c>
      <c r="C43" s="273">
        <f>+'2.2 ACTIVITE RECETTES'!E87+B43</f>
        <v>0</v>
      </c>
      <c r="D43" s="273">
        <f>+'2.2 ACTIVITE RECETTES'!F87+C43</f>
        <v>0</v>
      </c>
      <c r="E43" s="273">
        <f>+'2.2 ACTIVITE RECETTES'!G87+D43</f>
        <v>0</v>
      </c>
      <c r="F43" s="273">
        <f>+'2.2 ACTIVITE RECETTES'!H87+E43</f>
        <v>0</v>
      </c>
    </row>
    <row r="44" spans="1:9" ht="25" thickBot="1" x14ac:dyDescent="0.35">
      <c r="A44" s="286" t="s">
        <v>46</v>
      </c>
      <c r="B44" s="287">
        <f>SUM(B39:B43)</f>
        <v>1638147.2</v>
      </c>
      <c r="C44" s="287">
        <f t="shared" ref="C44:F44" si="3">SUM(C39:C43)</f>
        <v>1638147.2</v>
      </c>
      <c r="D44" s="287">
        <f t="shared" si="3"/>
        <v>1638147.2</v>
      </c>
      <c r="E44" s="287">
        <f t="shared" si="3"/>
        <v>1638147.2</v>
      </c>
      <c r="F44" s="288">
        <f t="shared" si="3"/>
        <v>1638147.2</v>
      </c>
    </row>
    <row r="45" spans="1:9" ht="16" thickBot="1" x14ac:dyDescent="0.25">
      <c r="B45" s="64"/>
      <c r="C45" s="64"/>
      <c r="D45" s="64"/>
      <c r="E45" s="64"/>
      <c r="F45" s="64"/>
    </row>
    <row r="46" spans="1:9" ht="24" x14ac:dyDescent="0.3">
      <c r="A46" s="289" t="s">
        <v>47</v>
      </c>
      <c r="B46" s="290">
        <f>B44-B37</f>
        <v>87482.267072768416</v>
      </c>
      <c r="C46" s="290">
        <f>C44-C37</f>
        <v>89192.739419818856</v>
      </c>
      <c r="D46" s="290">
        <f>D44-D37</f>
        <v>91127.821304956684</v>
      </c>
      <c r="E46" s="290">
        <f>E44-E37</f>
        <v>93137.730618750909</v>
      </c>
      <c r="F46" s="291">
        <f>F44-F37</f>
        <v>95225.360853267135</v>
      </c>
    </row>
    <row r="47" spans="1:9" hidden="1" x14ac:dyDescent="0.2">
      <c r="A47" s="292"/>
      <c r="B47" s="293"/>
      <c r="C47" s="293"/>
      <c r="D47" s="293"/>
      <c r="E47" s="293"/>
      <c r="F47" s="294"/>
    </row>
    <row r="48" spans="1:9" ht="16" thickBot="1" x14ac:dyDescent="0.25">
      <c r="A48" s="295" t="s">
        <v>536</v>
      </c>
      <c r="B48" s="296">
        <f>IFERROR(B46/B44,"")</f>
        <v>5.3403178342439815E-2</v>
      </c>
      <c r="C48" s="296">
        <f t="shared" ref="C48:F48" si="4">IFERROR(C46/C44,"")</f>
        <v>5.444732892124643E-2</v>
      </c>
      <c r="D48" s="296">
        <f t="shared" si="4"/>
        <v>5.5628591438520718E-2</v>
      </c>
      <c r="E48" s="296">
        <f t="shared" si="4"/>
        <v>5.6855532041779219E-2</v>
      </c>
      <c r="F48" s="297">
        <f t="shared" si="4"/>
        <v>5.8129917050962904E-2</v>
      </c>
    </row>
    <row r="49" spans="1:13" x14ac:dyDescent="0.2">
      <c r="B49" s="674"/>
      <c r="C49" s="674"/>
      <c r="D49" s="674"/>
      <c r="E49" s="674"/>
      <c r="F49" s="674"/>
    </row>
    <row r="50" spans="1:13" x14ac:dyDescent="0.2">
      <c r="A50" s="266" t="s">
        <v>1303</v>
      </c>
      <c r="B50" s="675"/>
      <c r="C50" s="675"/>
      <c r="D50" s="675"/>
      <c r="E50" s="675"/>
      <c r="F50" s="675"/>
    </row>
    <row r="51" spans="1:13" x14ac:dyDescent="0.2">
      <c r="A51" s="266" t="s">
        <v>1304</v>
      </c>
      <c r="B51" s="676">
        <f>'NGS Projet recap financier'!L56</f>
        <v>3276294.4</v>
      </c>
      <c r="C51" s="677"/>
      <c r="D51" s="677"/>
      <c r="E51" s="677"/>
      <c r="F51" s="677"/>
    </row>
    <row r="52" spans="1:13" hidden="1" x14ac:dyDescent="0.2">
      <c r="A52" s="266" t="s">
        <v>1305</v>
      </c>
      <c r="B52" s="676">
        <f>B20</f>
        <v>0</v>
      </c>
      <c r="C52" s="677"/>
      <c r="D52" s="677"/>
      <c r="E52" s="677"/>
      <c r="F52" s="677"/>
      <c r="G52" s="68" t="s">
        <v>1308</v>
      </c>
    </row>
    <row r="53" spans="1:13" x14ac:dyDescent="0.2">
      <c r="A53" s="266" t="s">
        <v>1309</v>
      </c>
      <c r="B53" s="676">
        <f>B51/2</f>
        <v>1638147.2</v>
      </c>
      <c r="C53" s="676"/>
      <c r="D53" s="676"/>
      <c r="E53" s="676"/>
      <c r="F53" s="676"/>
    </row>
    <row r="54" spans="1:13" x14ac:dyDescent="0.2">
      <c r="A54" s="690" t="s">
        <v>1344</v>
      </c>
      <c r="B54" s="691">
        <f>B53-B51-B52</f>
        <v>-1638147.2</v>
      </c>
      <c r="C54" s="689" t="s">
        <v>1341</v>
      </c>
      <c r="D54" s="676"/>
      <c r="E54" s="676"/>
      <c r="F54" s="676"/>
    </row>
    <row r="55" spans="1:13" x14ac:dyDescent="0.2">
      <c r="A55" s="690" t="s">
        <v>1345</v>
      </c>
      <c r="B55" s="691">
        <v>0</v>
      </c>
      <c r="C55" s="689" t="s">
        <v>1342</v>
      </c>
      <c r="D55" s="676"/>
      <c r="E55" s="676"/>
      <c r="F55" s="676"/>
    </row>
    <row r="56" spans="1:13" x14ac:dyDescent="0.2">
      <c r="A56" s="266"/>
      <c r="B56" s="64"/>
      <c r="C56" s="64"/>
      <c r="D56" s="64"/>
      <c r="E56" s="64"/>
      <c r="F56" s="64"/>
    </row>
    <row r="57" spans="1:13" hidden="1" x14ac:dyDescent="0.2">
      <c r="A57" s="64"/>
      <c r="B57" s="64"/>
      <c r="C57" s="64"/>
      <c r="D57" s="64"/>
      <c r="E57" s="64"/>
      <c r="F57" s="64"/>
    </row>
    <row r="58" spans="1:13" ht="16" hidden="1" thickBot="1" x14ac:dyDescent="0.25">
      <c r="A58" t="s">
        <v>714</v>
      </c>
      <c r="B58" s="527">
        <v>0.25</v>
      </c>
      <c r="C58" s="527">
        <v>0.25</v>
      </c>
      <c r="D58" s="527">
        <v>0.25</v>
      </c>
      <c r="E58" s="527">
        <v>0.25</v>
      </c>
      <c r="F58" s="527">
        <v>0.25</v>
      </c>
    </row>
    <row r="59" spans="1:13" ht="25" hidden="1" thickBot="1" x14ac:dyDescent="0.35">
      <c r="A59" s="528" t="s">
        <v>715</v>
      </c>
      <c r="B59" s="529">
        <f>B46-(B58*B44)</f>
        <v>-322054.53292723157</v>
      </c>
      <c r="C59" s="530">
        <f>C46-(C58*C44)</f>
        <v>-320344.06058018113</v>
      </c>
      <c r="D59" s="531">
        <f>D46-(D58*D44)</f>
        <v>-318408.9786950433</v>
      </c>
      <c r="E59" s="531">
        <f>E46-(E58*E44)</f>
        <v>-316399.06938124908</v>
      </c>
      <c r="F59" s="532">
        <f>F46-(F58*F44)</f>
        <v>-314311.43914673285</v>
      </c>
    </row>
    <row r="61" spans="1:13" ht="33" x14ac:dyDescent="0.2">
      <c r="A61" s="763" t="s">
        <v>543</v>
      </c>
      <c r="B61" s="763"/>
      <c r="C61" s="763"/>
      <c r="D61" s="763"/>
      <c r="E61" s="763"/>
      <c r="F61" s="763"/>
      <c r="G61" s="119"/>
      <c r="H61" s="119"/>
      <c r="I61" s="119"/>
      <c r="J61" s="119"/>
      <c r="K61" s="119"/>
      <c r="L61" s="119"/>
      <c r="M61" s="119"/>
    </row>
    <row r="62" spans="1:13" x14ac:dyDescent="0.2">
      <c r="A62" s="194" t="s">
        <v>542</v>
      </c>
      <c r="G62"/>
    </row>
    <row r="63" spans="1:13" x14ac:dyDescent="0.2">
      <c r="A63" s="63"/>
      <c r="B63" s="282" t="s">
        <v>248</v>
      </c>
      <c r="C63" s="71" t="s">
        <v>249</v>
      </c>
      <c r="D63" s="764" t="s">
        <v>250</v>
      </c>
      <c r="E63" s="765"/>
      <c r="F63" s="766"/>
      <c r="G63" s="124"/>
      <c r="H63" s="761"/>
      <c r="I63" s="761"/>
      <c r="J63" s="761"/>
      <c r="K63" s="761"/>
      <c r="L63" s="761"/>
      <c r="M63" s="761"/>
    </row>
    <row r="64" spans="1:13" ht="32" x14ac:dyDescent="0.2">
      <c r="A64" s="283" t="s">
        <v>540</v>
      </c>
      <c r="B64" s="284"/>
      <c r="C64" s="282"/>
      <c r="D64" s="767"/>
      <c r="E64" s="767"/>
      <c r="F64" s="767"/>
      <c r="G64" s="122"/>
      <c r="H64" s="762"/>
      <c r="I64" s="762"/>
      <c r="J64" s="762"/>
      <c r="K64" s="762"/>
      <c r="L64" s="762"/>
      <c r="M64" s="762"/>
    </row>
  </sheetData>
  <mergeCells count="10">
    <mergeCell ref="G28:G30"/>
    <mergeCell ref="G16:G17"/>
    <mergeCell ref="C2:F2"/>
    <mergeCell ref="A7:C7"/>
    <mergeCell ref="D7:F7"/>
    <mergeCell ref="H63:M63"/>
    <mergeCell ref="H64:M64"/>
    <mergeCell ref="A61:F61"/>
    <mergeCell ref="D63:F63"/>
    <mergeCell ref="D64:F64"/>
  </mergeCells>
  <conditionalFormatting sqref="B46:F46">
    <cfRule type="cellIs" dxfId="17" priority="3" operator="lessThan">
      <formula>0</formula>
    </cfRule>
  </conditionalFormatting>
  <conditionalFormatting sqref="B59:F59">
    <cfRule type="cellIs" dxfId="16" priority="1" operator="lessThan">
      <formula>0</formula>
    </cfRule>
  </conditionalFormatting>
  <hyperlinks>
    <hyperlink ref="C10" location="'2.1 INVEST'!A1" display="(voir détails)" xr:uid="{00000000-0004-0000-0300-000000000000}"/>
    <hyperlink ref="G24" location="'2.1 INVEST'!A1" display="(voir détails)" xr:uid="{00000000-0004-0000-0300-000001000000}"/>
    <hyperlink ref="G16" location="RH!A1" display="(voir détails)" xr:uid="{00000000-0004-0000-0300-000002000000}"/>
    <hyperlink ref="G18" location="'2.4 Dep Med et MDT'!A1" display="(voir détails)" xr:uid="{00000000-0004-0000-0300-000003000000}"/>
    <hyperlink ref="G23" location="'2.5 T3 Dep hot et induites'!A1" display="(voir détails)" xr:uid="{00000000-0004-0000-0300-000004000000}"/>
    <hyperlink ref="G28" location="Ch_Induites" display="(voir détails)" xr:uid="{00000000-0004-0000-0300-000005000000}"/>
    <hyperlink ref="G31" location="'2.5 T3 Dep hot et induites'!A1" display="(voir détails)" xr:uid="{00000000-0004-0000-0300-000006000000}"/>
    <hyperlink ref="G39" location="'2.2 ACTIVITE RECETTES'!A1" display="(voir détails)" xr:uid="{00000000-0004-0000-0300-000007000000}"/>
    <hyperlink ref="G16:G17" location="'2.3 RH'!A1" display="(voir détails)" xr:uid="{00000000-0004-0000-0300-000008000000}"/>
    <hyperlink ref="G28:G30" location="'2.4 Dep Med et MDT'!A1" display="(voir détails)" xr:uid="{00000000-0004-0000-0300-000009000000}"/>
  </hyperlinks>
  <printOptions horizontalCentered="1" verticalCentered="1"/>
  <pageMargins left="0.70866141732283472" right="0.70866141732283472" top="0.74803149606299213" bottom="0.74803149606299213" header="0.31496062992125984" footer="0.31496062992125984"/>
  <pageSetup paperSize="9" scale="63" orientation="landscape" horizontalDpi="1200" verticalDpi="1200" r:id="rId1"/>
  <headerFooter>
    <oddFooter>&amp;LCHU REUNION
&amp;C&amp;A
&amp;P/&amp;N&amp;R&amp;F</oddFooter>
  </headerFooter>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tabColor theme="0" tint="-0.14999847407452621"/>
    <pageSetUpPr fitToPage="1"/>
  </sheetPr>
  <dimension ref="A1:N79"/>
  <sheetViews>
    <sheetView topLeftCell="A47" workbookViewId="0">
      <selection activeCell="A73" sqref="A73"/>
    </sheetView>
  </sheetViews>
  <sheetFormatPr baseColWidth="10" defaultRowHeight="15" x14ac:dyDescent="0.2"/>
  <cols>
    <col min="1" max="1" width="51.83203125" customWidth="1"/>
    <col min="4" max="4" width="13.33203125" bestFit="1" customWidth="1"/>
    <col min="5" max="5" width="13.5" customWidth="1"/>
    <col min="6" max="6" width="13.33203125" bestFit="1" customWidth="1"/>
    <col min="7" max="11" width="11.6640625" bestFit="1" customWidth="1"/>
    <col min="12" max="12" width="6" customWidth="1"/>
    <col min="13" max="13" width="14.5" customWidth="1"/>
  </cols>
  <sheetData>
    <row r="1" spans="1:14" x14ac:dyDescent="0.2">
      <c r="G1" s="68"/>
    </row>
    <row r="2" spans="1:14" ht="33.75" customHeight="1" x14ac:dyDescent="0.2">
      <c r="F2" s="763" t="str">
        <f>+"2.1 INVESTISSEMENTS"</f>
        <v>2.1 INVESTISSEMENTS</v>
      </c>
      <c r="G2" s="763"/>
      <c r="H2" s="763"/>
      <c r="I2" s="763"/>
      <c r="J2" s="763"/>
      <c r="K2" s="763"/>
      <c r="L2" s="119"/>
      <c r="M2" s="119"/>
      <c r="N2" s="119"/>
    </row>
    <row r="3" spans="1:14" x14ac:dyDescent="0.2">
      <c r="G3" s="68"/>
    </row>
    <row r="4" spans="1:14" x14ac:dyDescent="0.2">
      <c r="G4" s="68"/>
    </row>
    <row r="5" spans="1:14" ht="18.75" customHeight="1" x14ac:dyDescent="0.25">
      <c r="D5" s="138"/>
      <c r="F5" s="285" t="s">
        <v>245</v>
      </c>
      <c r="G5" s="303" t="str">
        <f>IF(+'2- SYNTHESE FIN'!D5=0,"")</f>
        <v/>
      </c>
      <c r="H5" s="119"/>
      <c r="I5" s="119"/>
      <c r="J5" s="155" t="s">
        <v>524</v>
      </c>
      <c r="K5" s="276" t="str">
        <f>+Cod_projet</f>
        <v>P_21_00x</v>
      </c>
    </row>
    <row r="7" spans="1:14" ht="33.75" customHeight="1" x14ac:dyDescent="0.2">
      <c r="A7" s="770" t="s">
        <v>242</v>
      </c>
      <c r="B7" s="770"/>
      <c r="C7" s="770"/>
      <c r="D7" s="771" t="str">
        <f>+'1- Avant Projet'!G6</f>
        <v>Biologie moléculaire - Plateforme NGS : réinternalisation des examens</v>
      </c>
      <c r="E7" s="771"/>
      <c r="F7" s="771"/>
      <c r="G7" s="308"/>
      <c r="H7" s="308"/>
      <c r="I7" s="308"/>
      <c r="J7" s="308"/>
      <c r="K7" s="309"/>
    </row>
    <row r="8" spans="1:14" ht="26.25" customHeight="1" x14ac:dyDescent="0.2"/>
    <row r="9" spans="1:14" ht="26.25" customHeight="1" x14ac:dyDescent="0.2">
      <c r="A9" s="489"/>
    </row>
    <row r="10" spans="1:14" ht="26.25" customHeight="1" x14ac:dyDescent="0.2"/>
    <row r="11" spans="1:14" ht="26.25" customHeight="1" x14ac:dyDescent="0.2">
      <c r="D11" s="775" t="s">
        <v>292</v>
      </c>
      <c r="E11" s="776"/>
    </row>
    <row r="12" spans="1:14" ht="26.25" customHeight="1" x14ac:dyDescent="0.2">
      <c r="D12" s="157" t="s">
        <v>293</v>
      </c>
      <c r="E12" s="490">
        <f>+D42</f>
        <v>0</v>
      </c>
    </row>
    <row r="13" spans="1:14" ht="26.25" customHeight="1" x14ac:dyDescent="0.2">
      <c r="D13" s="157" t="s">
        <v>53</v>
      </c>
      <c r="E13" s="491">
        <f>+D53</f>
        <v>13298</v>
      </c>
    </row>
    <row r="14" spans="1:14" ht="26.25" customHeight="1" x14ac:dyDescent="0.2">
      <c r="D14" s="157" t="s">
        <v>51</v>
      </c>
      <c r="E14" s="491">
        <f>+D61</f>
        <v>0</v>
      </c>
    </row>
    <row r="15" spans="1:14" ht="26.25" customHeight="1" x14ac:dyDescent="0.2">
      <c r="D15" s="157" t="s">
        <v>52</v>
      </c>
      <c r="E15" s="491">
        <f>+D71</f>
        <v>356064</v>
      </c>
    </row>
    <row r="16" spans="1:14" ht="26.25" customHeight="1" x14ac:dyDescent="0.2">
      <c r="D16" s="157"/>
      <c r="E16" s="491"/>
    </row>
    <row r="17" spans="3:11" ht="26.25" customHeight="1" x14ac:dyDescent="0.2">
      <c r="D17" s="158" t="s">
        <v>28</v>
      </c>
      <c r="E17" s="492">
        <f>SUM(E12:E15)</f>
        <v>369362</v>
      </c>
    </row>
    <row r="18" spans="3:11" ht="19.5" customHeight="1" x14ac:dyDescent="0.2">
      <c r="D18" s="160" t="s">
        <v>319</v>
      </c>
      <c r="E18" s="159" t="str">
        <f>+IF(D28=E17,"Ok","Erreur")</f>
        <v>Ok</v>
      </c>
    </row>
    <row r="19" spans="3:11" ht="11.25" customHeight="1" x14ac:dyDescent="0.2"/>
    <row r="20" spans="3:11" ht="13.5" customHeight="1" x14ac:dyDescent="0.2">
      <c r="C20" s="124" t="s">
        <v>503</v>
      </c>
    </row>
    <row r="21" spans="3:11" ht="26.25" customHeight="1" x14ac:dyDescent="0.2">
      <c r="E21" s="33" t="s">
        <v>291</v>
      </c>
      <c r="F21" s="34"/>
      <c r="G21" s="34"/>
      <c r="H21" s="34"/>
      <c r="I21" s="34"/>
      <c r="J21" s="35"/>
      <c r="K21" s="35"/>
    </row>
    <row r="22" spans="3:11" ht="26.25" customHeight="1" x14ac:dyDescent="0.2">
      <c r="C22" s="46" t="s">
        <v>21</v>
      </c>
      <c r="D22" s="38" t="s">
        <v>16</v>
      </c>
      <c r="E22" s="38">
        <f>An_1</f>
        <v>2023</v>
      </c>
      <c r="F22" s="38">
        <f>+E22+1</f>
        <v>2024</v>
      </c>
      <c r="G22" s="38">
        <f>+F22+1</f>
        <v>2025</v>
      </c>
      <c r="H22" s="38">
        <f t="shared" ref="H22:K22" si="0">+G22+1</f>
        <v>2026</v>
      </c>
      <c r="I22" s="38">
        <f t="shared" si="0"/>
        <v>2027</v>
      </c>
      <c r="J22" s="38">
        <f t="shared" si="0"/>
        <v>2028</v>
      </c>
      <c r="K22" s="38">
        <f t="shared" si="0"/>
        <v>2029</v>
      </c>
    </row>
    <row r="23" spans="3:11" ht="26.25" customHeight="1" x14ac:dyDescent="0.2">
      <c r="C23" s="57">
        <v>30</v>
      </c>
      <c r="D23" s="493">
        <f t="shared" ref="D23:K27" si="1">SUMIF($C$43:$C$76,$C23,D$43:D$76)</f>
        <v>0</v>
      </c>
      <c r="E23" s="493">
        <f t="shared" si="1"/>
        <v>0</v>
      </c>
      <c r="F23" s="493">
        <f t="shared" si="1"/>
        <v>0</v>
      </c>
      <c r="G23" s="493">
        <f t="shared" si="1"/>
        <v>0</v>
      </c>
      <c r="H23" s="493">
        <f t="shared" si="1"/>
        <v>0</v>
      </c>
      <c r="I23" s="493">
        <f t="shared" si="1"/>
        <v>0</v>
      </c>
      <c r="J23" s="493">
        <f t="shared" si="1"/>
        <v>0</v>
      </c>
      <c r="K23" s="493">
        <f t="shared" si="1"/>
        <v>0</v>
      </c>
    </row>
    <row r="24" spans="3:11" ht="26.25" customHeight="1" x14ac:dyDescent="0.2">
      <c r="C24" s="57">
        <v>10</v>
      </c>
      <c r="D24" s="493">
        <f t="shared" si="1"/>
        <v>0</v>
      </c>
      <c r="E24" s="493">
        <f t="shared" si="1"/>
        <v>0</v>
      </c>
      <c r="F24" s="493">
        <f t="shared" si="1"/>
        <v>0</v>
      </c>
      <c r="G24" s="493">
        <f t="shared" si="1"/>
        <v>0</v>
      </c>
      <c r="H24" s="493">
        <f t="shared" si="1"/>
        <v>0</v>
      </c>
      <c r="I24" s="493">
        <f t="shared" si="1"/>
        <v>0</v>
      </c>
      <c r="J24" s="493">
        <f t="shared" si="1"/>
        <v>0</v>
      </c>
      <c r="K24" s="493">
        <f t="shared" si="1"/>
        <v>0</v>
      </c>
    </row>
    <row r="25" spans="3:11" ht="26.25" customHeight="1" x14ac:dyDescent="0.2">
      <c r="C25" s="57">
        <v>8</v>
      </c>
      <c r="D25" s="493">
        <f t="shared" si="1"/>
        <v>356064</v>
      </c>
      <c r="E25" s="493">
        <f t="shared" si="1"/>
        <v>356064</v>
      </c>
      <c r="F25" s="493">
        <f t="shared" si="1"/>
        <v>0</v>
      </c>
      <c r="G25" s="493">
        <f t="shared" si="1"/>
        <v>0</v>
      </c>
      <c r="H25" s="493">
        <f t="shared" si="1"/>
        <v>0</v>
      </c>
      <c r="I25" s="493">
        <f t="shared" si="1"/>
        <v>0</v>
      </c>
      <c r="J25" s="493">
        <f t="shared" si="1"/>
        <v>0</v>
      </c>
      <c r="K25" s="493">
        <f t="shared" si="1"/>
        <v>0</v>
      </c>
    </row>
    <row r="26" spans="3:11" ht="26.25" customHeight="1" x14ac:dyDescent="0.2">
      <c r="C26" s="57">
        <v>5</v>
      </c>
      <c r="D26" s="493">
        <f t="shared" si="1"/>
        <v>13298</v>
      </c>
      <c r="E26" s="493">
        <f t="shared" si="1"/>
        <v>13298</v>
      </c>
      <c r="F26" s="493">
        <f t="shared" si="1"/>
        <v>0</v>
      </c>
      <c r="G26" s="493">
        <f t="shared" si="1"/>
        <v>0</v>
      </c>
      <c r="H26" s="493">
        <f t="shared" si="1"/>
        <v>0</v>
      </c>
      <c r="I26" s="493">
        <f t="shared" si="1"/>
        <v>0</v>
      </c>
      <c r="J26" s="493">
        <f t="shared" si="1"/>
        <v>0</v>
      </c>
      <c r="K26" s="493">
        <f t="shared" si="1"/>
        <v>0</v>
      </c>
    </row>
    <row r="27" spans="3:11" ht="26.25" customHeight="1" x14ac:dyDescent="0.2">
      <c r="C27" s="57">
        <v>3</v>
      </c>
      <c r="D27" s="493">
        <f t="shared" si="1"/>
        <v>0</v>
      </c>
      <c r="E27" s="493">
        <f t="shared" si="1"/>
        <v>0</v>
      </c>
      <c r="F27" s="493">
        <f t="shared" si="1"/>
        <v>0</v>
      </c>
      <c r="G27" s="493">
        <f t="shared" si="1"/>
        <v>0</v>
      </c>
      <c r="H27" s="493">
        <f t="shared" si="1"/>
        <v>0</v>
      </c>
      <c r="I27" s="493">
        <f t="shared" si="1"/>
        <v>0</v>
      </c>
      <c r="J27" s="493">
        <f t="shared" si="1"/>
        <v>0</v>
      </c>
      <c r="K27" s="493">
        <f t="shared" si="1"/>
        <v>0</v>
      </c>
    </row>
    <row r="28" spans="3:11" ht="26.25" customHeight="1" x14ac:dyDescent="0.2">
      <c r="C28" s="60" t="s">
        <v>28</v>
      </c>
      <c r="D28" s="494">
        <f>SUM(D23:D27)</f>
        <v>369362</v>
      </c>
      <c r="E28" s="494">
        <f t="shared" ref="E28:J28" si="2">SUM(E23:E26)</f>
        <v>369362</v>
      </c>
      <c r="F28" s="494">
        <f t="shared" si="2"/>
        <v>0</v>
      </c>
      <c r="G28" s="494">
        <f t="shared" si="2"/>
        <v>0</v>
      </c>
      <c r="H28" s="494">
        <f t="shared" si="2"/>
        <v>0</v>
      </c>
      <c r="I28" s="494">
        <f t="shared" si="2"/>
        <v>0</v>
      </c>
      <c r="J28" s="494">
        <f t="shared" si="2"/>
        <v>0</v>
      </c>
      <c r="K28" s="494">
        <f t="shared" ref="K28" si="3">SUM(K23:K26)</f>
        <v>0</v>
      </c>
    </row>
    <row r="29" spans="3:11" ht="31.5" customHeight="1" x14ac:dyDescent="0.2">
      <c r="C29" s="58"/>
      <c r="D29" s="59"/>
      <c r="E29" s="59"/>
      <c r="F29" s="59"/>
      <c r="G29" s="59"/>
      <c r="H29" s="59"/>
      <c r="I29" s="59"/>
      <c r="J29" s="59"/>
      <c r="K29" s="59"/>
    </row>
    <row r="30" spans="3:11" x14ac:dyDescent="0.2">
      <c r="E30" s="33" t="s">
        <v>29</v>
      </c>
      <c r="F30" s="34"/>
      <c r="G30" s="34"/>
      <c r="H30" s="34"/>
      <c r="I30" s="34"/>
      <c r="J30" s="35"/>
      <c r="K30" s="35"/>
    </row>
    <row r="31" spans="3:11" ht="28" x14ac:dyDescent="0.2">
      <c r="C31" s="46" t="s">
        <v>21</v>
      </c>
      <c r="D31" s="38"/>
      <c r="E31" s="36">
        <f t="shared" ref="E31:K31" si="4">+E$22</f>
        <v>2023</v>
      </c>
      <c r="F31" s="36">
        <f t="shared" si="4"/>
        <v>2024</v>
      </c>
      <c r="G31" s="36">
        <f t="shared" si="4"/>
        <v>2025</v>
      </c>
      <c r="H31" s="36">
        <f t="shared" si="4"/>
        <v>2026</v>
      </c>
      <c r="I31" s="36">
        <f t="shared" si="4"/>
        <v>2027</v>
      </c>
      <c r="J31" s="36">
        <f t="shared" si="4"/>
        <v>2028</v>
      </c>
      <c r="K31" s="36">
        <f t="shared" si="4"/>
        <v>2029</v>
      </c>
    </row>
    <row r="32" spans="3:11" x14ac:dyDescent="0.2">
      <c r="C32" s="57">
        <v>30</v>
      </c>
      <c r="D32" s="56"/>
      <c r="E32" s="493"/>
      <c r="F32" s="493">
        <f>+E23/$C23</f>
        <v>0</v>
      </c>
      <c r="G32" s="493">
        <f>SUM($E23:F23)/$C23</f>
        <v>0</v>
      </c>
      <c r="H32" s="493">
        <f>SUM($E23:G23)/$C23</f>
        <v>0</v>
      </c>
      <c r="I32" s="493">
        <f>SUM($E23:H23)/$C23</f>
        <v>0</v>
      </c>
      <c r="J32" s="493">
        <f>SUM($E23:I23)/$C23</f>
        <v>0</v>
      </c>
      <c r="K32" s="493">
        <f>SUM($E23:J23)/$C23</f>
        <v>0</v>
      </c>
    </row>
    <row r="33" spans="1:13" x14ac:dyDescent="0.2">
      <c r="C33" s="57">
        <v>10</v>
      </c>
      <c r="D33" s="56"/>
      <c r="E33" s="493"/>
      <c r="F33" s="493">
        <f>+E24/$C24</f>
        <v>0</v>
      </c>
      <c r="G33" s="493">
        <f>SUM($E24:F24)/$C24</f>
        <v>0</v>
      </c>
      <c r="H33" s="493">
        <f>SUM($E24:G24)/$C24</f>
        <v>0</v>
      </c>
      <c r="I33" s="493">
        <f>SUM($E24:H24)/$C24</f>
        <v>0</v>
      </c>
      <c r="J33" s="493">
        <f>SUM($E24:I24)/$C24</f>
        <v>0</v>
      </c>
      <c r="K33" s="493">
        <f>SUM($E24:J24)/$C24</f>
        <v>0</v>
      </c>
    </row>
    <row r="34" spans="1:13" x14ac:dyDescent="0.2">
      <c r="C34" s="57">
        <v>8</v>
      </c>
      <c r="D34" s="56"/>
      <c r="E34" s="493"/>
      <c r="F34" s="493">
        <f>+E25/$C25</f>
        <v>44508</v>
      </c>
      <c r="G34" s="493">
        <f>SUM($E25:F25)/$C25</f>
        <v>44508</v>
      </c>
      <c r="H34" s="493">
        <f>SUM($E25:G25)/$C25</f>
        <v>44508</v>
      </c>
      <c r="I34" s="493">
        <f>SUM($E25:H25)/$C25</f>
        <v>44508</v>
      </c>
      <c r="J34" s="493">
        <f>SUM($E25:I25)/$C25</f>
        <v>44508</v>
      </c>
      <c r="K34" s="493">
        <f>SUM($E25:J25)/$C25</f>
        <v>44508</v>
      </c>
    </row>
    <row r="35" spans="1:13" x14ac:dyDescent="0.2">
      <c r="C35" s="57">
        <v>5</v>
      </c>
      <c r="D35" s="56"/>
      <c r="E35" s="493"/>
      <c r="F35" s="493">
        <f>+E26/$C26</f>
        <v>2659.6</v>
      </c>
      <c r="G35" s="493">
        <f>SUM($E26:F26)/$C26</f>
        <v>2659.6</v>
      </c>
      <c r="H35" s="493">
        <f>SUM($E26:G26)/$C26</f>
        <v>2659.6</v>
      </c>
      <c r="I35" s="493">
        <f>SUM($E26:H26)/$C26</f>
        <v>2659.6</v>
      </c>
      <c r="J35" s="493">
        <f>SUM($E26:I26)/$C26</f>
        <v>2659.6</v>
      </c>
      <c r="K35" s="493">
        <f>SUM($E26:J26)/$C26</f>
        <v>2659.6</v>
      </c>
    </row>
    <row r="36" spans="1:13" ht="24" x14ac:dyDescent="0.3">
      <c r="A36" s="10"/>
      <c r="C36" s="57">
        <v>3</v>
      </c>
      <c r="D36" s="56"/>
      <c r="E36" s="493"/>
      <c r="F36" s="493"/>
      <c r="G36" s="493">
        <f>SUM($E27:F27)/$C27</f>
        <v>0</v>
      </c>
      <c r="H36" s="493">
        <f>SUM($E27:G27)/$C27</f>
        <v>0</v>
      </c>
      <c r="I36" s="493">
        <f>SUM($E27:H27)/$C27</f>
        <v>0</v>
      </c>
      <c r="J36" s="493"/>
      <c r="K36" s="493"/>
    </row>
    <row r="37" spans="1:13" ht="24" x14ac:dyDescent="0.3">
      <c r="A37" s="10"/>
      <c r="C37" s="60" t="s">
        <v>28</v>
      </c>
      <c r="D37" s="61"/>
      <c r="E37" s="494">
        <f t="shared" ref="E37" si="5">SUM(E32:E35)</f>
        <v>0</v>
      </c>
      <c r="F37" s="494">
        <f t="shared" ref="F37" si="6">SUM(F32:F35)</f>
        <v>47167.6</v>
      </c>
      <c r="G37" s="494">
        <f t="shared" ref="G37" si="7">SUM(G32:G35)</f>
        <v>47167.6</v>
      </c>
      <c r="H37" s="494">
        <f t="shared" ref="H37" si="8">SUM(H32:H35)</f>
        <v>47167.6</v>
      </c>
      <c r="I37" s="494">
        <f t="shared" ref="I37" si="9">SUM(I32:I35)</f>
        <v>47167.6</v>
      </c>
      <c r="J37" s="494">
        <f t="shared" ref="J37:K37" si="10">SUM(J32:J35)</f>
        <v>47167.6</v>
      </c>
      <c r="K37" s="494">
        <f t="shared" si="10"/>
        <v>47167.6</v>
      </c>
    </row>
    <row r="39" spans="1:13" ht="16" x14ac:dyDescent="0.2">
      <c r="C39" s="58"/>
      <c r="D39" s="59"/>
      <c r="E39" s="59"/>
      <c r="F39" s="59"/>
      <c r="G39" s="59"/>
      <c r="H39" s="59"/>
      <c r="I39" s="59"/>
      <c r="J39" s="59"/>
      <c r="K39" s="59"/>
    </row>
    <row r="40" spans="1:13" ht="18" x14ac:dyDescent="0.2">
      <c r="A40" s="265" t="s">
        <v>533</v>
      </c>
      <c r="E40" s="772" t="s">
        <v>26</v>
      </c>
      <c r="F40" s="773"/>
      <c r="G40" s="773"/>
      <c r="H40" s="773"/>
      <c r="I40" s="773"/>
      <c r="J40" s="773"/>
      <c r="K40" s="774"/>
    </row>
    <row r="41" spans="1:13" ht="28" x14ac:dyDescent="0.2">
      <c r="A41" s="118" t="s">
        <v>238</v>
      </c>
      <c r="B41" s="37" t="s">
        <v>15</v>
      </c>
      <c r="C41" s="46" t="s">
        <v>23</v>
      </c>
      <c r="D41" s="38" t="s">
        <v>16</v>
      </c>
      <c r="E41" s="36">
        <f t="shared" ref="E41:K41" si="11">+E$22</f>
        <v>2023</v>
      </c>
      <c r="F41" s="36">
        <f t="shared" si="11"/>
        <v>2024</v>
      </c>
      <c r="G41" s="36">
        <f t="shared" si="11"/>
        <v>2025</v>
      </c>
      <c r="H41" s="36">
        <f t="shared" si="11"/>
        <v>2026</v>
      </c>
      <c r="I41" s="36">
        <f t="shared" si="11"/>
        <v>2027</v>
      </c>
      <c r="J41" s="36">
        <f t="shared" si="11"/>
        <v>2028</v>
      </c>
      <c r="K41" s="36">
        <f t="shared" si="11"/>
        <v>2029</v>
      </c>
    </row>
    <row r="42" spans="1:13" ht="16" x14ac:dyDescent="0.2">
      <c r="A42" s="42" t="s">
        <v>17</v>
      </c>
      <c r="B42" s="43"/>
      <c r="C42" s="44"/>
      <c r="D42" s="495">
        <f t="shared" ref="D42:J42" si="12">SUM(D43:D48)</f>
        <v>0</v>
      </c>
      <c r="E42" s="497">
        <f t="shared" si="12"/>
        <v>0</v>
      </c>
      <c r="F42" s="497">
        <f t="shared" si="12"/>
        <v>0</v>
      </c>
      <c r="G42" s="497">
        <f t="shared" si="12"/>
        <v>0</v>
      </c>
      <c r="H42" s="497">
        <f t="shared" si="12"/>
        <v>0</v>
      </c>
      <c r="I42" s="497">
        <f t="shared" si="12"/>
        <v>0</v>
      </c>
      <c r="J42" s="497">
        <f t="shared" si="12"/>
        <v>0</v>
      </c>
      <c r="K42" s="497">
        <f t="shared" ref="K42" si="13">SUM(K43:K48)</f>
        <v>0</v>
      </c>
      <c r="L42" s="28"/>
      <c r="M42" s="28"/>
    </row>
    <row r="43" spans="1:13" x14ac:dyDescent="0.2">
      <c r="A43" s="299" t="s">
        <v>830</v>
      </c>
      <c r="B43" s="27"/>
      <c r="C43" s="39">
        <v>30</v>
      </c>
      <c r="D43" s="496">
        <f>SUM(E43:J43)</f>
        <v>0</v>
      </c>
      <c r="E43" s="380"/>
      <c r="F43" s="380"/>
      <c r="G43" s="380"/>
      <c r="H43" s="380"/>
      <c r="I43" s="380"/>
      <c r="J43" s="380"/>
      <c r="K43" s="380"/>
      <c r="L43" s="28"/>
      <c r="M43" s="28"/>
    </row>
    <row r="44" spans="1:13" x14ac:dyDescent="0.2">
      <c r="A44" s="572" t="s">
        <v>831</v>
      </c>
      <c r="B44" s="27"/>
      <c r="C44" s="39">
        <v>30</v>
      </c>
      <c r="D44" s="496">
        <f t="shared" ref="D44:D48" si="14">SUM(E44:J44)</f>
        <v>0</v>
      </c>
      <c r="E44" s="380"/>
      <c r="F44" s="380"/>
      <c r="G44" s="380"/>
      <c r="H44" s="380"/>
      <c r="I44" s="380"/>
      <c r="J44" s="380"/>
      <c r="K44" s="380"/>
      <c r="L44" s="28"/>
      <c r="M44" s="28"/>
    </row>
    <row r="45" spans="1:13" x14ac:dyDescent="0.2">
      <c r="A45" s="300"/>
      <c r="B45" s="40"/>
      <c r="C45" s="39">
        <v>30</v>
      </c>
      <c r="D45" s="496">
        <f t="shared" si="14"/>
        <v>0</v>
      </c>
      <c r="E45" s="381"/>
      <c r="F45" s="381"/>
      <c r="G45" s="381"/>
      <c r="H45" s="381"/>
      <c r="I45" s="381"/>
      <c r="J45" s="381"/>
      <c r="K45" s="381"/>
      <c r="L45" s="28"/>
      <c r="M45" s="28"/>
    </row>
    <row r="46" spans="1:13" x14ac:dyDescent="0.2">
      <c r="A46" s="300"/>
      <c r="B46" s="41"/>
      <c r="C46" s="39">
        <v>10</v>
      </c>
      <c r="D46" s="496">
        <f t="shared" si="14"/>
        <v>0</v>
      </c>
      <c r="E46" s="382"/>
      <c r="F46" s="381"/>
      <c r="G46" s="381"/>
      <c r="H46" s="381"/>
      <c r="I46" s="381"/>
      <c r="J46" s="381"/>
      <c r="K46" s="381"/>
      <c r="L46" s="28"/>
      <c r="M46" s="28"/>
    </row>
    <row r="47" spans="1:13" x14ac:dyDescent="0.2">
      <c r="A47" s="300"/>
      <c r="B47" s="41"/>
      <c r="C47" s="39">
        <v>10</v>
      </c>
      <c r="D47" s="496">
        <f t="shared" si="14"/>
        <v>0</v>
      </c>
      <c r="E47" s="382"/>
      <c r="F47" s="381"/>
      <c r="G47" s="381"/>
      <c r="H47" s="381"/>
      <c r="I47" s="381"/>
      <c r="J47" s="381"/>
      <c r="K47" s="381"/>
      <c r="L47" s="28"/>
      <c r="M47" s="28"/>
    </row>
    <row r="48" spans="1:13" x14ac:dyDescent="0.2">
      <c r="A48" s="300"/>
      <c r="B48" s="41"/>
      <c r="C48" s="39">
        <v>10</v>
      </c>
      <c r="D48" s="496">
        <f t="shared" si="14"/>
        <v>0</v>
      </c>
      <c r="E48" s="382"/>
      <c r="F48" s="381"/>
      <c r="G48" s="381"/>
      <c r="H48" s="381"/>
      <c r="I48" s="381"/>
      <c r="J48" s="381"/>
      <c r="K48" s="381"/>
      <c r="L48" s="28"/>
      <c r="M48" s="28"/>
    </row>
    <row r="49" spans="1:13" x14ac:dyDescent="0.2">
      <c r="A49" s="9"/>
      <c r="B49" s="9"/>
    </row>
    <row r="50" spans="1:13" x14ac:dyDescent="0.2">
      <c r="A50" s="9"/>
      <c r="B50" s="9"/>
    </row>
    <row r="51" spans="1:13" x14ac:dyDescent="0.2">
      <c r="A51" s="9"/>
      <c r="B51" s="9"/>
      <c r="E51" s="772" t="s">
        <v>25</v>
      </c>
      <c r="F51" s="773"/>
      <c r="G51" s="773"/>
      <c r="H51" s="773"/>
      <c r="I51" s="773"/>
      <c r="J51" s="773"/>
      <c r="K51" s="774"/>
    </row>
    <row r="52" spans="1:13" ht="28" x14ac:dyDescent="0.2">
      <c r="A52" s="118" t="s">
        <v>239</v>
      </c>
      <c r="B52" s="45" t="s">
        <v>15</v>
      </c>
      <c r="C52" s="46" t="s">
        <v>23</v>
      </c>
      <c r="D52" s="46" t="s">
        <v>16</v>
      </c>
      <c r="E52" s="36">
        <f t="shared" ref="E52:K52" si="15">+E$22</f>
        <v>2023</v>
      </c>
      <c r="F52" s="36">
        <f t="shared" si="15"/>
        <v>2024</v>
      </c>
      <c r="G52" s="36">
        <f t="shared" si="15"/>
        <v>2025</v>
      </c>
      <c r="H52" s="36">
        <f t="shared" si="15"/>
        <v>2026</v>
      </c>
      <c r="I52" s="36">
        <f t="shared" si="15"/>
        <v>2027</v>
      </c>
      <c r="J52" s="36">
        <f t="shared" si="15"/>
        <v>2028</v>
      </c>
      <c r="K52" s="36">
        <f t="shared" si="15"/>
        <v>2029</v>
      </c>
    </row>
    <row r="53" spans="1:13" ht="16" x14ac:dyDescent="0.2">
      <c r="A53" s="50" t="s">
        <v>19</v>
      </c>
      <c r="B53" s="51"/>
      <c r="C53" s="52"/>
      <c r="D53" s="497">
        <f t="shared" ref="D53:J53" si="16">SUM(D54:D56)</f>
        <v>13298</v>
      </c>
      <c r="E53" s="497">
        <f t="shared" si="16"/>
        <v>13298</v>
      </c>
      <c r="F53" s="497">
        <f t="shared" si="16"/>
        <v>0</v>
      </c>
      <c r="G53" s="497">
        <f t="shared" si="16"/>
        <v>0</v>
      </c>
      <c r="H53" s="497">
        <f t="shared" si="16"/>
        <v>0</v>
      </c>
      <c r="I53" s="497">
        <f t="shared" si="16"/>
        <v>0</v>
      </c>
      <c r="J53" s="497">
        <f t="shared" si="16"/>
        <v>0</v>
      </c>
      <c r="K53" s="497">
        <f t="shared" ref="K53" si="17">SUM(K54:K56)</f>
        <v>0</v>
      </c>
    </row>
    <row r="54" spans="1:13" x14ac:dyDescent="0.2">
      <c r="A54" s="301" t="s">
        <v>863</v>
      </c>
      <c r="B54" s="47">
        <v>1</v>
      </c>
      <c r="C54" s="49">
        <v>5</v>
      </c>
      <c r="D54" s="496">
        <f t="shared" ref="D54:D56" si="18">SUM(E54:J54)</f>
        <v>4758</v>
      </c>
      <c r="E54" s="383">
        <v>4758</v>
      </c>
      <c r="F54" s="381"/>
      <c r="G54" s="381"/>
      <c r="H54" s="381"/>
      <c r="I54" s="381"/>
      <c r="J54" s="381"/>
      <c r="K54" s="381"/>
      <c r="L54" s="28"/>
    </row>
    <row r="55" spans="1:13" x14ac:dyDescent="0.2">
      <c r="A55" s="302" t="s">
        <v>864</v>
      </c>
      <c r="B55" s="32">
        <v>1</v>
      </c>
      <c r="C55" s="49">
        <v>5</v>
      </c>
      <c r="D55" s="496">
        <f t="shared" si="18"/>
        <v>8540</v>
      </c>
      <c r="E55" s="381">
        <v>8540</v>
      </c>
      <c r="F55" s="381"/>
      <c r="G55" s="381"/>
      <c r="H55" s="381"/>
      <c r="I55" s="381"/>
      <c r="J55" s="381"/>
      <c r="K55" s="381"/>
      <c r="L55" s="28"/>
      <c r="M55" s="29"/>
    </row>
    <row r="56" spans="1:13" x14ac:dyDescent="0.2">
      <c r="A56" s="302"/>
      <c r="B56" s="32"/>
      <c r="C56" s="49"/>
      <c r="D56" s="496">
        <f t="shared" si="18"/>
        <v>0</v>
      </c>
      <c r="E56" s="381"/>
      <c r="F56" s="381"/>
      <c r="G56" s="381"/>
      <c r="H56" s="381"/>
      <c r="I56" s="381"/>
      <c r="J56" s="381"/>
      <c r="K56" s="381"/>
      <c r="L56" s="28"/>
      <c r="M56" s="29"/>
    </row>
    <row r="57" spans="1:13" x14ac:dyDescent="0.2">
      <c r="A57" s="9"/>
      <c r="B57" s="9"/>
    </row>
    <row r="58" spans="1:13" x14ac:dyDescent="0.2">
      <c r="A58" s="9"/>
      <c r="B58" s="9"/>
      <c r="C58" s="30"/>
      <c r="D58" s="30"/>
      <c r="E58" s="30"/>
      <c r="F58" s="31"/>
      <c r="G58" s="31"/>
      <c r="H58" s="31"/>
      <c r="I58" s="31"/>
    </row>
    <row r="59" spans="1:13" x14ac:dyDescent="0.2">
      <c r="A59" s="9"/>
      <c r="B59" s="9"/>
      <c r="E59" s="772" t="s">
        <v>27</v>
      </c>
      <c r="F59" s="773"/>
      <c r="G59" s="773"/>
      <c r="H59" s="773"/>
      <c r="I59" s="773"/>
      <c r="J59" s="773"/>
      <c r="K59" s="774"/>
    </row>
    <row r="60" spans="1:13" ht="28" x14ac:dyDescent="0.2">
      <c r="A60" s="118" t="s">
        <v>240</v>
      </c>
      <c r="B60" s="45" t="s">
        <v>15</v>
      </c>
      <c r="C60" s="46" t="s">
        <v>23</v>
      </c>
      <c r="D60" s="46" t="s">
        <v>16</v>
      </c>
      <c r="E60" s="36">
        <f t="shared" ref="E60:K60" si="19">+E$22</f>
        <v>2023</v>
      </c>
      <c r="F60" s="36">
        <f t="shared" si="19"/>
        <v>2024</v>
      </c>
      <c r="G60" s="36">
        <f t="shared" si="19"/>
        <v>2025</v>
      </c>
      <c r="H60" s="36">
        <f t="shared" si="19"/>
        <v>2026</v>
      </c>
      <c r="I60" s="36">
        <f t="shared" si="19"/>
        <v>2027</v>
      </c>
      <c r="J60" s="36">
        <f t="shared" si="19"/>
        <v>2028</v>
      </c>
      <c r="K60" s="36">
        <f t="shared" si="19"/>
        <v>2029</v>
      </c>
    </row>
    <row r="61" spans="1:13" ht="16" x14ac:dyDescent="0.2">
      <c r="A61" s="42" t="s">
        <v>20</v>
      </c>
      <c r="B61" s="55"/>
      <c r="C61" s="44"/>
      <c r="D61" s="497">
        <f>SUM(D62:D66)</f>
        <v>0</v>
      </c>
      <c r="E61" s="497">
        <f>SUM(E62:E66)</f>
        <v>0</v>
      </c>
      <c r="F61" s="497">
        <f>SUM(F62:F66)</f>
        <v>0</v>
      </c>
      <c r="G61" s="497">
        <f>SUM(G62:G66)</f>
        <v>0</v>
      </c>
      <c r="H61" s="497">
        <f>SUM(H62:H66)</f>
        <v>0</v>
      </c>
      <c r="I61" s="497">
        <v>0</v>
      </c>
      <c r="J61" s="497">
        <f>SUM(J62:J66)</f>
        <v>0</v>
      </c>
      <c r="K61" s="497">
        <f>SUM(K62:K66)</f>
        <v>0</v>
      </c>
      <c r="L61" s="54"/>
    </row>
    <row r="62" spans="1:13" x14ac:dyDescent="0.2">
      <c r="A62" s="299"/>
      <c r="B62" s="32"/>
      <c r="C62" s="48">
        <v>5</v>
      </c>
      <c r="D62" s="496">
        <f>SUM(E62:J62)</f>
        <v>0</v>
      </c>
      <c r="E62" s="384"/>
      <c r="F62" s="385"/>
      <c r="G62" s="385"/>
      <c r="H62" s="385"/>
      <c r="I62" s="385"/>
      <c r="J62" s="385"/>
      <c r="K62" s="385"/>
      <c r="L62" s="53"/>
    </row>
    <row r="63" spans="1:13" x14ac:dyDescent="0.2">
      <c r="A63" s="299"/>
      <c r="B63" s="32"/>
      <c r="C63" s="48">
        <v>5</v>
      </c>
      <c r="D63" s="496">
        <f t="shared" ref="D63:D66" si="20">SUM(E63:J63)</f>
        <v>0</v>
      </c>
      <c r="E63" s="386"/>
      <c r="F63" s="385"/>
      <c r="G63" s="385"/>
      <c r="H63" s="385"/>
      <c r="I63" s="385"/>
      <c r="J63" s="385"/>
      <c r="K63" s="385"/>
      <c r="L63" s="53"/>
    </row>
    <row r="64" spans="1:13" x14ac:dyDescent="0.2">
      <c r="A64" s="299"/>
      <c r="B64" s="32"/>
      <c r="C64" s="48">
        <v>5</v>
      </c>
      <c r="D64" s="496">
        <f t="shared" si="20"/>
        <v>0</v>
      </c>
      <c r="E64" s="386"/>
      <c r="F64" s="385"/>
      <c r="G64" s="385"/>
      <c r="H64" s="385"/>
      <c r="I64" s="385"/>
      <c r="J64" s="385"/>
      <c r="K64" s="385"/>
      <c r="L64" s="53"/>
    </row>
    <row r="65" spans="1:12" x14ac:dyDescent="0.2">
      <c r="A65" s="299"/>
      <c r="B65" s="32"/>
      <c r="C65" s="48">
        <v>5</v>
      </c>
      <c r="D65" s="496">
        <f t="shared" si="20"/>
        <v>0</v>
      </c>
      <c r="E65" s="386"/>
      <c r="F65" s="385"/>
      <c r="G65" s="385"/>
      <c r="H65" s="385"/>
      <c r="I65" s="385"/>
      <c r="J65" s="385"/>
      <c r="K65" s="385"/>
      <c r="L65" s="53"/>
    </row>
    <row r="66" spans="1:12" x14ac:dyDescent="0.2">
      <c r="A66" s="299"/>
      <c r="B66" s="32"/>
      <c r="C66" s="48">
        <v>3</v>
      </c>
      <c r="D66" s="496">
        <f t="shared" si="20"/>
        <v>0</v>
      </c>
      <c r="E66" s="386"/>
      <c r="F66" s="385"/>
      <c r="G66" s="385"/>
      <c r="H66" s="385"/>
      <c r="I66" s="385"/>
      <c r="J66" s="385"/>
      <c r="K66" s="385"/>
      <c r="L66" s="53"/>
    </row>
    <row r="67" spans="1:12" x14ac:dyDescent="0.2">
      <c r="A67" s="9"/>
      <c r="B67" s="9"/>
      <c r="C67" s="30"/>
      <c r="D67" s="30"/>
      <c r="E67" s="30"/>
      <c r="F67" s="31"/>
      <c r="G67" s="31"/>
      <c r="H67" s="31"/>
      <c r="I67" s="31"/>
    </row>
    <row r="68" spans="1:12" x14ac:dyDescent="0.2">
      <c r="A68" s="9"/>
      <c r="B68" s="9"/>
    </row>
    <row r="69" spans="1:12" x14ac:dyDescent="0.2">
      <c r="A69" s="9"/>
      <c r="B69" s="9"/>
      <c r="E69" s="772" t="s">
        <v>24</v>
      </c>
      <c r="F69" s="773"/>
      <c r="G69" s="773"/>
      <c r="H69" s="773"/>
      <c r="I69" s="773"/>
      <c r="J69" s="773"/>
      <c r="K69" s="774"/>
    </row>
    <row r="70" spans="1:12" ht="28" x14ac:dyDescent="0.2">
      <c r="A70" s="118" t="s">
        <v>241</v>
      </c>
      <c r="B70" s="45" t="s">
        <v>18</v>
      </c>
      <c r="C70" s="46" t="s">
        <v>23</v>
      </c>
      <c r="D70" s="46" t="s">
        <v>16</v>
      </c>
      <c r="E70" s="36">
        <f t="shared" ref="E70:K70" si="21">+E$22</f>
        <v>2023</v>
      </c>
      <c r="F70" s="36">
        <f t="shared" si="21"/>
        <v>2024</v>
      </c>
      <c r="G70" s="36">
        <f t="shared" si="21"/>
        <v>2025</v>
      </c>
      <c r="H70" s="36">
        <f t="shared" si="21"/>
        <v>2026</v>
      </c>
      <c r="I70" s="36">
        <f t="shared" si="21"/>
        <v>2027</v>
      </c>
      <c r="J70" s="36">
        <f t="shared" si="21"/>
        <v>2028</v>
      </c>
      <c r="K70" s="36">
        <f t="shared" si="21"/>
        <v>2029</v>
      </c>
    </row>
    <row r="71" spans="1:12" ht="16" x14ac:dyDescent="0.2">
      <c r="A71" s="42" t="s">
        <v>22</v>
      </c>
      <c r="B71" s="55"/>
      <c r="C71" s="44"/>
      <c r="D71" s="497">
        <f>SUM(D72:D76)</f>
        <v>356064</v>
      </c>
      <c r="E71" s="497">
        <f>SUM(E72:E76)</f>
        <v>356064</v>
      </c>
      <c r="F71" s="497">
        <f>SUM(F72:F76)</f>
        <v>0</v>
      </c>
      <c r="G71" s="497">
        <f>SUM(F72:F76)</f>
        <v>0</v>
      </c>
      <c r="H71" s="497">
        <f>SUM(G72:G76)</f>
        <v>0</v>
      </c>
      <c r="I71" s="497">
        <f>SUM(H72:H76)</f>
        <v>0</v>
      </c>
      <c r="J71" s="497">
        <f>SUM(J72:J76)</f>
        <v>0</v>
      </c>
      <c r="K71" s="497">
        <f>SUM(K72:K76)</f>
        <v>0</v>
      </c>
    </row>
    <row r="72" spans="1:12" x14ac:dyDescent="0.2">
      <c r="A72" s="302" t="s">
        <v>829</v>
      </c>
      <c r="B72" s="32">
        <v>2</v>
      </c>
      <c r="C72" s="48">
        <v>8</v>
      </c>
      <c r="D72" s="498">
        <f t="shared" ref="D72:D76" si="22">SUM(E72:I72)</f>
        <v>10600</v>
      </c>
      <c r="E72" s="387">
        <v>10600</v>
      </c>
      <c r="F72" s="387"/>
      <c r="G72" s="387"/>
      <c r="H72" s="387"/>
      <c r="I72" s="387"/>
      <c r="J72" s="387"/>
      <c r="K72" s="387"/>
    </row>
    <row r="73" spans="1:12" x14ac:dyDescent="0.2">
      <c r="A73" s="299" t="s">
        <v>1349</v>
      </c>
      <c r="B73" s="32">
        <v>1</v>
      </c>
      <c r="C73" s="48">
        <v>8</v>
      </c>
      <c r="D73" s="496">
        <f t="shared" si="22"/>
        <v>249464</v>
      </c>
      <c r="E73" s="387">
        <v>249464</v>
      </c>
      <c r="F73" s="387"/>
      <c r="G73" s="387"/>
      <c r="H73" s="387"/>
      <c r="I73" s="387"/>
      <c r="J73" s="385"/>
      <c r="K73" s="385"/>
    </row>
    <row r="74" spans="1:12" x14ac:dyDescent="0.2">
      <c r="A74" s="607" t="s">
        <v>1207</v>
      </c>
      <c r="B74" s="32">
        <v>1</v>
      </c>
      <c r="C74" s="48">
        <v>8</v>
      </c>
      <c r="D74" s="496">
        <f t="shared" si="22"/>
        <v>28000</v>
      </c>
      <c r="E74" s="387">
        <v>28000</v>
      </c>
      <c r="F74" s="387"/>
      <c r="G74" s="387"/>
      <c r="H74" s="387"/>
      <c r="I74" s="387"/>
      <c r="J74" s="385"/>
      <c r="K74" s="385"/>
    </row>
    <row r="75" spans="1:12" x14ac:dyDescent="0.2">
      <c r="A75" s="299" t="s">
        <v>1208</v>
      </c>
      <c r="B75" s="32">
        <v>1</v>
      </c>
      <c r="C75" s="48">
        <v>8</v>
      </c>
      <c r="D75" s="496">
        <f t="shared" si="22"/>
        <v>18000</v>
      </c>
      <c r="E75" s="387">
        <v>18000</v>
      </c>
      <c r="F75" s="387"/>
      <c r="G75" s="387"/>
      <c r="H75" s="387"/>
      <c r="I75" s="387"/>
      <c r="J75" s="385"/>
      <c r="K75" s="385"/>
      <c r="L75" s="571"/>
    </row>
    <row r="76" spans="1:12" x14ac:dyDescent="0.2">
      <c r="A76" s="299" t="s">
        <v>1215</v>
      </c>
      <c r="B76" s="32"/>
      <c r="C76" s="48">
        <v>8</v>
      </c>
      <c r="D76" s="496">
        <f t="shared" si="22"/>
        <v>50000</v>
      </c>
      <c r="E76" s="387">
        <v>50000</v>
      </c>
      <c r="F76" s="387"/>
      <c r="G76" s="387"/>
      <c r="H76" s="387"/>
      <c r="I76" s="387"/>
      <c r="J76" s="385"/>
      <c r="K76" s="385"/>
    </row>
    <row r="77" spans="1:12" x14ac:dyDescent="0.2">
      <c r="B77" s="128"/>
      <c r="C77" s="129"/>
      <c r="D77" s="130"/>
      <c r="E77" s="131"/>
      <c r="F77" s="132"/>
      <c r="G77" s="132"/>
      <c r="H77" s="132"/>
      <c r="I77" s="132"/>
      <c r="J77" s="132"/>
      <c r="K77" s="132"/>
    </row>
    <row r="78" spans="1:12" x14ac:dyDescent="0.2">
      <c r="A78" s="194" t="s">
        <v>266</v>
      </c>
    </row>
    <row r="79" spans="1:12" x14ac:dyDescent="0.2">
      <c r="A79" s="298" t="s">
        <v>50</v>
      </c>
    </row>
  </sheetData>
  <mergeCells count="8">
    <mergeCell ref="A7:C7"/>
    <mergeCell ref="D7:F7"/>
    <mergeCell ref="F2:K2"/>
    <mergeCell ref="E69:K69"/>
    <mergeCell ref="E59:K59"/>
    <mergeCell ref="E51:K51"/>
    <mergeCell ref="E40:K40"/>
    <mergeCell ref="D11:E11"/>
  </mergeCells>
  <printOptions horizontalCentered="1" verticalCentered="1"/>
  <pageMargins left="0.70866141732283472" right="0.70866141732283472" top="0.74803149606299213" bottom="0.74803149606299213" header="0.31496062992125984" footer="0.31496062992125984"/>
  <pageSetup paperSize="9" scale="49" orientation="portrait" horizontalDpi="1200" verticalDpi="1200" r:id="rId1"/>
  <headerFooter>
    <oddHeader>&amp;C&amp;"-,Gras"&amp;20&amp;K0070C0Investissement</oddHeader>
    <oddFooter>&amp;LCHU REUNION&amp;C&amp;A
&amp;P/&amp;N&amp;R&amp;F</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2">
    <tabColor theme="0" tint="-0.14999847407452621"/>
    <pageSetUpPr fitToPage="1"/>
  </sheetPr>
  <dimension ref="A1:W89"/>
  <sheetViews>
    <sheetView tabSelected="1" topLeftCell="N34" workbookViewId="0">
      <selection activeCell="Q52" sqref="Q52"/>
    </sheetView>
  </sheetViews>
  <sheetFormatPr baseColWidth="10" defaultColWidth="11.5" defaultRowHeight="15" outlineLevelCol="1" x14ac:dyDescent="0.2"/>
  <cols>
    <col min="1" max="1" width="14" style="237" hidden="1" customWidth="1"/>
    <col min="2" max="2" width="14.83203125" style="9" hidden="1" customWidth="1"/>
    <col min="3" max="3" width="25" style="9" hidden="1" customWidth="1"/>
    <col min="4" max="4" width="25.5" style="9" hidden="1" customWidth="1"/>
    <col min="5" max="5" width="15.6640625" style="9" hidden="1" customWidth="1"/>
    <col min="6" max="6" width="12.5" style="9" hidden="1" customWidth="1"/>
    <col min="7" max="8" width="9.6640625" style="9" hidden="1" customWidth="1"/>
    <col min="9" max="9" width="8.5" style="9" hidden="1" customWidth="1"/>
    <col min="10" max="12" width="11.5" style="9" hidden="1" customWidth="1" outlineLevel="1"/>
    <col min="13" max="13" width="8.83203125" style="9" hidden="1" customWidth="1" outlineLevel="1"/>
    <col min="14" max="14" width="11.5" style="9" collapsed="1"/>
    <col min="15" max="15" width="12" style="9" customWidth="1"/>
    <col min="16" max="16" width="12.6640625" style="9" bestFit="1" customWidth="1"/>
    <col min="17" max="18" width="24" style="9" customWidth="1"/>
    <col min="19" max="16384" width="11.5" style="9"/>
  </cols>
  <sheetData>
    <row r="1" spans="1:22" customFormat="1" x14ac:dyDescent="0.2">
      <c r="G1" s="68"/>
    </row>
    <row r="2" spans="1:22" customFormat="1" ht="33.75" customHeight="1" x14ac:dyDescent="0.2">
      <c r="F2" s="763" t="str">
        <f>+"2.2 ACTIVITÉ ET RECETTES"</f>
        <v>2.2 ACTIVITÉ ET RECETTES</v>
      </c>
      <c r="G2" s="763"/>
      <c r="H2" s="763"/>
      <c r="I2" s="763"/>
      <c r="J2" s="763"/>
      <c r="K2" s="763"/>
      <c r="L2" s="119"/>
      <c r="M2" s="119"/>
      <c r="N2" s="119"/>
      <c r="P2" s="763" t="str">
        <f>+"2.2 ACTIVITÉ ET RECETTES"</f>
        <v>2.2 ACTIVITÉ ET RECETTES</v>
      </c>
      <c r="Q2" s="763"/>
      <c r="R2" s="763"/>
      <c r="S2" s="763"/>
      <c r="T2" s="763"/>
      <c r="U2" s="763"/>
      <c r="V2" s="763"/>
    </row>
    <row r="3" spans="1:22" customFormat="1" ht="16" thickBot="1" x14ac:dyDescent="0.25">
      <c r="G3" s="68"/>
    </row>
    <row r="4" spans="1:22" customFormat="1" hidden="1" x14ac:dyDescent="0.2">
      <c r="G4" s="68"/>
    </row>
    <row r="5" spans="1:22" customFormat="1" ht="18.75" hidden="1" customHeight="1" x14ac:dyDescent="0.25">
      <c r="D5" s="138"/>
      <c r="F5" s="285" t="s">
        <v>245</v>
      </c>
      <c r="G5" s="303" t="str">
        <f>IF(+'2- SYNTHESE FIN'!D5=0,"")</f>
        <v/>
      </c>
      <c r="H5" s="119"/>
      <c r="I5" s="119"/>
      <c r="J5" s="155" t="s">
        <v>524</v>
      </c>
      <c r="K5" s="276" t="str">
        <f>+Cod_projet</f>
        <v>P_21_00x</v>
      </c>
    </row>
    <row r="6" spans="1:22" customFormat="1" hidden="1" x14ac:dyDescent="0.2"/>
    <row r="7" spans="1:22" customFormat="1" ht="33.75" hidden="1" customHeight="1" x14ac:dyDescent="0.2">
      <c r="A7" s="763" t="s">
        <v>242</v>
      </c>
      <c r="B7" s="763"/>
      <c r="C7" s="763"/>
      <c r="D7" s="763"/>
      <c r="E7" s="763"/>
      <c r="F7" s="771" t="str">
        <f>+'1- Avant Projet'!G6</f>
        <v>Biologie moléculaire - Plateforme NGS : réinternalisation des examens</v>
      </c>
      <c r="G7" s="771"/>
      <c r="H7" s="771"/>
      <c r="I7" s="308"/>
      <c r="J7" s="308"/>
      <c r="K7" s="309"/>
      <c r="M7" s="9"/>
      <c r="N7" s="9"/>
      <c r="O7" s="9"/>
    </row>
    <row r="8" spans="1:22" customFormat="1" ht="16" hidden="1" thickBot="1" x14ac:dyDescent="0.25"/>
    <row r="9" spans="1:22" ht="25" hidden="1" thickBot="1" x14ac:dyDescent="0.35">
      <c r="A9" s="781" t="s">
        <v>337</v>
      </c>
      <c r="B9" s="782"/>
      <c r="C9" s="782"/>
      <c r="D9" s="782"/>
      <c r="E9" s="782"/>
      <c r="F9" s="782"/>
      <c r="G9" s="782"/>
      <c r="H9" s="783"/>
    </row>
    <row r="10" spans="1:22" ht="9.75" hidden="1" customHeight="1" x14ac:dyDescent="0.3">
      <c r="A10" s="224"/>
    </row>
    <row r="11" spans="1:22" ht="19" hidden="1" x14ac:dyDescent="0.2">
      <c r="A11" s="225" t="s">
        <v>325</v>
      </c>
    </row>
    <row r="12" spans="1:22" hidden="1" x14ac:dyDescent="0.2">
      <c r="A12" s="226" t="s">
        <v>320</v>
      </c>
      <c r="B12" s="227" t="s">
        <v>321</v>
      </c>
      <c r="C12" s="227" t="s">
        <v>0</v>
      </c>
      <c r="D12" s="227">
        <f>An_1</f>
        <v>2023</v>
      </c>
      <c r="E12" s="227">
        <f>+D12+1</f>
        <v>2024</v>
      </c>
      <c r="F12" s="227">
        <f t="shared" ref="F12:H12" si="0">+E12+1</f>
        <v>2025</v>
      </c>
      <c r="G12" s="227">
        <f t="shared" si="0"/>
        <v>2026</v>
      </c>
      <c r="H12" s="227">
        <f t="shared" si="0"/>
        <v>2027</v>
      </c>
      <c r="I12" s="777" t="s">
        <v>699</v>
      </c>
      <c r="J12" s="777"/>
      <c r="K12" s="777"/>
      <c r="L12" s="777"/>
      <c r="M12" s="777"/>
    </row>
    <row r="13" spans="1:22" hidden="1" x14ac:dyDescent="0.2">
      <c r="A13" s="326"/>
      <c r="B13" s="327"/>
      <c r="C13" s="230"/>
      <c r="D13" s="230"/>
      <c r="E13" s="230"/>
      <c r="F13" s="230"/>
      <c r="G13" s="230"/>
      <c r="H13" s="230"/>
      <c r="I13" s="777"/>
      <c r="J13" s="777"/>
      <c r="K13" s="777"/>
      <c r="L13" s="777"/>
      <c r="M13" s="777"/>
    </row>
    <row r="14" spans="1:22" hidden="1" x14ac:dyDescent="0.2">
      <c r="A14" s="326"/>
      <c r="B14" s="327"/>
      <c r="C14" s="230"/>
      <c r="D14" s="230"/>
      <c r="E14" s="230"/>
      <c r="F14" s="230"/>
      <c r="G14" s="230"/>
      <c r="H14" s="230"/>
      <c r="I14" s="777"/>
      <c r="J14" s="777"/>
      <c r="K14" s="777"/>
      <c r="L14" s="777"/>
      <c r="M14" s="777"/>
    </row>
    <row r="15" spans="1:22" hidden="1" x14ac:dyDescent="0.2">
      <c r="A15" s="326"/>
      <c r="B15" s="327"/>
      <c r="C15" s="230"/>
      <c r="D15" s="230"/>
      <c r="E15" s="230"/>
      <c r="F15" s="230"/>
      <c r="G15" s="230"/>
      <c r="H15" s="230"/>
      <c r="I15" s="777"/>
      <c r="J15" s="777"/>
      <c r="K15" s="777"/>
      <c r="L15" s="777"/>
      <c r="M15" s="777"/>
    </row>
    <row r="16" spans="1:22" ht="19" hidden="1" x14ac:dyDescent="0.25">
      <c r="A16" s="784" t="s">
        <v>322</v>
      </c>
      <c r="B16" s="785"/>
      <c r="C16" s="232">
        <f>SUM(C13:C15)</f>
        <v>0</v>
      </c>
      <c r="D16" s="232">
        <f t="shared" ref="D16:H16" si="1">SUM(D13:D15)</f>
        <v>0</v>
      </c>
      <c r="E16" s="232">
        <f t="shared" si="1"/>
        <v>0</v>
      </c>
      <c r="F16" s="232">
        <f t="shared" si="1"/>
        <v>0</v>
      </c>
      <c r="G16" s="232">
        <f t="shared" si="1"/>
        <v>0</v>
      </c>
      <c r="H16" s="232">
        <f t="shared" si="1"/>
        <v>0</v>
      </c>
      <c r="J16" s="231"/>
    </row>
    <row r="17" spans="1:13" ht="19" hidden="1" x14ac:dyDescent="0.25">
      <c r="A17" s="233" t="s">
        <v>326</v>
      </c>
      <c r="B17" s="234"/>
      <c r="C17" s="223"/>
      <c r="D17" s="223"/>
      <c r="E17" s="223"/>
      <c r="F17" s="223"/>
      <c r="G17" s="223"/>
      <c r="H17" s="223"/>
      <c r="J17" s="231"/>
    </row>
    <row r="18" spans="1:13" hidden="1" x14ac:dyDescent="0.2">
      <c r="A18" s="229"/>
      <c r="B18" s="235" t="s">
        <v>323</v>
      </c>
      <c r="C18" s="230"/>
      <c r="D18" s="230"/>
      <c r="E18" s="230"/>
      <c r="F18" s="230"/>
      <c r="G18" s="230"/>
      <c r="H18" s="230"/>
      <c r="I18" s="777"/>
      <c r="J18" s="777"/>
      <c r="K18" s="777"/>
      <c r="L18" s="777"/>
      <c r="M18" s="777"/>
    </row>
    <row r="19" spans="1:13" hidden="1" x14ac:dyDescent="0.2">
      <c r="A19" s="236"/>
      <c r="B19" s="235" t="s">
        <v>324</v>
      </c>
      <c r="C19" s="230"/>
      <c r="D19" s="230"/>
      <c r="E19" s="230"/>
      <c r="F19" s="230"/>
      <c r="G19" s="230"/>
      <c r="H19" s="230"/>
      <c r="I19" s="777"/>
      <c r="J19" s="777"/>
      <c r="K19" s="777"/>
      <c r="L19" s="777"/>
      <c r="M19" s="777"/>
    </row>
    <row r="20" spans="1:13" hidden="1" x14ac:dyDescent="0.2"/>
    <row r="21" spans="1:13" hidden="1" x14ac:dyDescent="0.2">
      <c r="A21" s="9"/>
      <c r="C21" s="228"/>
      <c r="D21" s="228"/>
      <c r="E21" s="228"/>
      <c r="F21" s="228"/>
      <c r="G21" s="228"/>
      <c r="H21" s="228"/>
    </row>
    <row r="22" spans="1:13" ht="24" hidden="1" x14ac:dyDescent="0.3">
      <c r="A22" s="238" t="s">
        <v>531</v>
      </c>
      <c r="B22" s="239"/>
      <c r="C22" s="227" t="s">
        <v>327</v>
      </c>
      <c r="D22" s="227" t="s">
        <v>336</v>
      </c>
      <c r="E22" s="228"/>
      <c r="F22" s="228"/>
      <c r="G22" s="228"/>
      <c r="H22" s="228"/>
    </row>
    <row r="23" spans="1:13" hidden="1" x14ac:dyDescent="0.2">
      <c r="A23" s="229" t="str">
        <f>IF(A13="","",A13)</f>
        <v/>
      </c>
      <c r="B23" s="229" t="str">
        <f>IF(B13="","",B13)</f>
        <v/>
      </c>
      <c r="C23" s="230"/>
      <c r="D23" s="230"/>
      <c r="E23" s="228"/>
      <c r="F23" s="228"/>
      <c r="G23" s="228"/>
      <c r="H23" s="228"/>
    </row>
    <row r="24" spans="1:13" hidden="1" x14ac:dyDescent="0.2">
      <c r="A24" s="229" t="str">
        <f t="shared" ref="A24:B24" si="2">IF(A14="","",A14)</f>
        <v/>
      </c>
      <c r="B24" s="229" t="str">
        <f t="shared" si="2"/>
        <v/>
      </c>
      <c r="C24" s="230"/>
      <c r="D24" s="230"/>
      <c r="E24" s="228"/>
      <c r="F24" s="228"/>
      <c r="G24" s="228"/>
      <c r="H24" s="228"/>
    </row>
    <row r="25" spans="1:13" hidden="1" x14ac:dyDescent="0.2">
      <c r="A25" s="229" t="str">
        <f t="shared" ref="A25:B25" si="3">IF(A15="","",A15)</f>
        <v/>
      </c>
      <c r="B25" s="229" t="str">
        <f t="shared" si="3"/>
        <v/>
      </c>
      <c r="C25" s="230"/>
      <c r="D25" s="230"/>
      <c r="E25" s="228"/>
      <c r="F25" s="228"/>
      <c r="G25" s="228"/>
      <c r="H25" s="228"/>
    </row>
    <row r="26" spans="1:13" hidden="1" x14ac:dyDescent="0.2">
      <c r="B26" s="240"/>
      <c r="C26" s="228"/>
      <c r="D26" s="228"/>
      <c r="E26" s="228"/>
      <c r="F26" s="228"/>
      <c r="G26" s="228"/>
      <c r="H26" s="228"/>
    </row>
    <row r="27" spans="1:13" hidden="1" x14ac:dyDescent="0.2">
      <c r="A27" s="161" t="s">
        <v>329</v>
      </c>
      <c r="B27" s="240"/>
    </row>
    <row r="28" spans="1:13" hidden="1" x14ac:dyDescent="0.2">
      <c r="A28" s="9"/>
      <c r="B28" s="240"/>
      <c r="C28" s="241" t="str">
        <f t="shared" ref="C28:H28" si="4">"TO "&amp;C12</f>
        <v>TO Actuel</v>
      </c>
      <c r="D28" s="241" t="str">
        <f t="shared" si="4"/>
        <v>TO 2023</v>
      </c>
      <c r="E28" s="241" t="str">
        <f t="shared" si="4"/>
        <v>TO 2024</v>
      </c>
      <c r="F28" s="241" t="str">
        <f t="shared" si="4"/>
        <v>TO 2025</v>
      </c>
      <c r="G28" s="241" t="str">
        <f t="shared" si="4"/>
        <v>TO 2026</v>
      </c>
      <c r="H28" s="241" t="str">
        <f t="shared" si="4"/>
        <v>TO 2027</v>
      </c>
    </row>
    <row r="29" spans="1:13" hidden="1" x14ac:dyDescent="0.2">
      <c r="A29" s="236" t="str">
        <f t="shared" ref="A29:B31" si="5">A23</f>
        <v/>
      </c>
      <c r="B29" s="235" t="str">
        <f t="shared" si="5"/>
        <v/>
      </c>
      <c r="C29" s="242"/>
      <c r="D29" s="242"/>
      <c r="E29" s="242"/>
      <c r="F29" s="242"/>
      <c r="G29" s="242"/>
      <c r="H29" s="242"/>
    </row>
    <row r="30" spans="1:13" hidden="1" x14ac:dyDescent="0.2">
      <c r="A30" s="236" t="str">
        <f t="shared" si="5"/>
        <v/>
      </c>
      <c r="B30" s="235" t="str">
        <f t="shared" si="5"/>
        <v/>
      </c>
      <c r="C30" s="242"/>
      <c r="D30" s="242"/>
      <c r="E30" s="242"/>
      <c r="F30" s="242"/>
      <c r="G30" s="242"/>
      <c r="H30" s="242"/>
    </row>
    <row r="31" spans="1:13" hidden="1" x14ac:dyDescent="0.2">
      <c r="A31" s="236" t="str">
        <f t="shared" si="5"/>
        <v/>
      </c>
      <c r="B31" s="235" t="str">
        <f t="shared" si="5"/>
        <v/>
      </c>
      <c r="C31" s="242"/>
      <c r="D31" s="242"/>
      <c r="E31" s="242"/>
      <c r="F31" s="242"/>
      <c r="G31" s="242"/>
      <c r="H31" s="242"/>
    </row>
    <row r="32" spans="1:13" hidden="1" x14ac:dyDescent="0.2">
      <c r="B32" s="240"/>
      <c r="C32" s="228"/>
      <c r="D32" s="228"/>
      <c r="E32" s="228"/>
      <c r="F32" s="228"/>
      <c r="G32" s="228"/>
      <c r="H32" s="228"/>
    </row>
    <row r="33" spans="1:22" ht="16" hidden="1" thickBot="1" x14ac:dyDescent="0.25">
      <c r="B33" s="240"/>
      <c r="C33" s="228"/>
      <c r="D33" s="228"/>
      <c r="E33" s="228"/>
      <c r="F33" s="228"/>
      <c r="G33" s="228"/>
      <c r="H33" s="228"/>
    </row>
    <row r="34" spans="1:22" ht="25" thickBot="1" x14ac:dyDescent="0.35">
      <c r="A34" s="786" t="s">
        <v>532</v>
      </c>
      <c r="B34" s="787"/>
      <c r="C34" s="787"/>
      <c r="D34" s="787"/>
      <c r="E34" s="787"/>
      <c r="F34" s="787"/>
      <c r="G34" s="787"/>
      <c r="H34" s="788"/>
      <c r="Q34" s="9" t="s">
        <v>1312</v>
      </c>
    </row>
    <row r="35" spans="1:22" x14ac:dyDescent="0.2">
      <c r="A35" s="243"/>
      <c r="B35" s="240"/>
      <c r="C35" s="228"/>
      <c r="D35" s="228"/>
      <c r="E35" s="228"/>
      <c r="F35" s="228"/>
      <c r="G35" s="228"/>
      <c r="H35" s="228"/>
      <c r="O35" s="568" t="s">
        <v>797</v>
      </c>
      <c r="P35" s="569">
        <v>2021</v>
      </c>
      <c r="Q35" s="569" t="s">
        <v>1310</v>
      </c>
      <c r="R35" s="569" t="s">
        <v>1313</v>
      </c>
      <c r="S35" s="569" t="s">
        <v>794</v>
      </c>
    </row>
    <row r="36" spans="1:22" ht="15" customHeight="1" x14ac:dyDescent="0.2">
      <c r="A36" s="244" t="s">
        <v>530</v>
      </c>
      <c r="O36" s="567" t="s">
        <v>761</v>
      </c>
      <c r="P36" s="72">
        <v>66</v>
      </c>
      <c r="Q36" s="72">
        <v>70</v>
      </c>
      <c r="R36" s="72"/>
      <c r="S36" s="566">
        <f>(Q36-P36)/P36</f>
        <v>6.0606060606060608E-2</v>
      </c>
      <c r="U36" s="9" t="s">
        <v>1209</v>
      </c>
      <c r="V36" s="9" t="s">
        <v>1317</v>
      </c>
    </row>
    <row r="37" spans="1:22" ht="15" customHeight="1" x14ac:dyDescent="0.2">
      <c r="A37" s="244" t="s">
        <v>320</v>
      </c>
      <c r="B37" s="9" t="s">
        <v>321</v>
      </c>
      <c r="D37" s="9">
        <f>An_1</f>
        <v>2023</v>
      </c>
      <c r="E37" s="9">
        <f>+D37+1</f>
        <v>2024</v>
      </c>
      <c r="F37" s="9">
        <f t="shared" ref="F37:H37" si="6">+E37+1</f>
        <v>2025</v>
      </c>
      <c r="G37" s="9">
        <f t="shared" si="6"/>
        <v>2026</v>
      </c>
      <c r="H37" s="9">
        <f t="shared" si="6"/>
        <v>2027</v>
      </c>
      <c r="J37" s="9" t="s">
        <v>331</v>
      </c>
      <c r="K37" s="9" t="s">
        <v>5</v>
      </c>
      <c r="L37" s="9" t="s">
        <v>332</v>
      </c>
      <c r="M37" s="9" t="s">
        <v>496</v>
      </c>
      <c r="O37" s="567" t="s">
        <v>745</v>
      </c>
      <c r="P37" s="72">
        <v>273</v>
      </c>
      <c r="Q37" s="72">
        <v>226</v>
      </c>
      <c r="R37" s="72"/>
      <c r="S37" s="566">
        <f t="shared" ref="S37:S42" si="7">(Q37-P37)/P37</f>
        <v>-0.17216117216117216</v>
      </c>
      <c r="U37" s="9" t="s">
        <v>1218</v>
      </c>
    </row>
    <row r="38" spans="1:22" ht="15" customHeight="1" thickBot="1" x14ac:dyDescent="0.25">
      <c r="A38" s="244"/>
      <c r="O38" s="567" t="s">
        <v>1145</v>
      </c>
      <c r="P38" s="72">
        <v>378</v>
      </c>
      <c r="Q38" s="72">
        <v>495</v>
      </c>
      <c r="R38" s="72"/>
      <c r="S38" s="566">
        <f t="shared" si="7"/>
        <v>0.30952380952380953</v>
      </c>
      <c r="U38" s="9" t="s">
        <v>1210</v>
      </c>
    </row>
    <row r="39" spans="1:22" ht="15" customHeight="1" x14ac:dyDescent="0.2">
      <c r="A39" s="245" t="str">
        <f>IF(A13="","",A13)</f>
        <v/>
      </c>
      <c r="B39" s="321" t="str">
        <f>IF(B13="","",B13)</f>
        <v/>
      </c>
      <c r="D39" s="343"/>
      <c r="E39" s="343"/>
      <c r="F39" s="343"/>
      <c r="G39" s="343"/>
      <c r="H39" s="343"/>
      <c r="I39" s="246"/>
      <c r="J39" s="310" t="str">
        <f>IF(D23="","",D23)</f>
        <v/>
      </c>
      <c r="K39" s="318"/>
      <c r="L39" s="247"/>
      <c r="M39" s="247"/>
      <c r="O39" s="567" t="s">
        <v>739</v>
      </c>
      <c r="P39" s="72">
        <v>418</v>
      </c>
      <c r="Q39" s="72">
        <v>1016</v>
      </c>
      <c r="R39" s="72"/>
      <c r="S39" s="566">
        <f t="shared" si="7"/>
        <v>1.430622009569378</v>
      </c>
      <c r="U39" s="9" t="s">
        <v>1314</v>
      </c>
    </row>
    <row r="40" spans="1:22" ht="15" customHeight="1" x14ac:dyDescent="0.2">
      <c r="A40" s="245" t="str">
        <f t="shared" ref="A40:B40" si="8">IF(A14="","",A14)</f>
        <v/>
      </c>
      <c r="B40" s="321" t="str">
        <f t="shared" si="8"/>
        <v/>
      </c>
      <c r="D40" s="343"/>
      <c r="E40" s="343"/>
      <c r="F40" s="343"/>
      <c r="G40" s="343"/>
      <c r="H40" s="343"/>
      <c r="I40" s="248"/>
      <c r="J40" s="311" t="str">
        <f>IF(D24="","",D24)</f>
        <v/>
      </c>
      <c r="K40" s="319"/>
      <c r="L40" s="249"/>
      <c r="M40" s="249"/>
      <c r="O40" s="567" t="s">
        <v>795</v>
      </c>
      <c r="P40" s="72">
        <v>73</v>
      </c>
      <c r="Q40" s="72">
        <v>90</v>
      </c>
      <c r="R40" s="72"/>
      <c r="S40" s="566">
        <f t="shared" si="7"/>
        <v>0.23287671232876711</v>
      </c>
      <c r="U40" s="9" t="s">
        <v>1212</v>
      </c>
    </row>
    <row r="41" spans="1:22" ht="15" customHeight="1" thickBot="1" x14ac:dyDescent="0.25">
      <c r="A41" s="245" t="str">
        <f t="shared" ref="A41:B41" si="9">IF(A15="","",A15)</f>
        <v/>
      </c>
      <c r="B41" s="321" t="str">
        <f t="shared" si="9"/>
        <v/>
      </c>
      <c r="D41" s="343"/>
      <c r="E41" s="343"/>
      <c r="F41" s="343"/>
      <c r="G41" s="343"/>
      <c r="H41" s="343"/>
      <c r="I41" s="248"/>
      <c r="J41" s="312" t="str">
        <f>IF(D25="","",D25)</f>
        <v/>
      </c>
      <c r="K41" s="320"/>
      <c r="L41" s="252"/>
      <c r="M41" s="252"/>
      <c r="O41" s="567" t="s">
        <v>796</v>
      </c>
      <c r="P41" s="72">
        <v>72</v>
      </c>
      <c r="Q41" s="72">
        <v>70</v>
      </c>
      <c r="R41" s="72"/>
      <c r="S41" s="566">
        <f t="shared" si="7"/>
        <v>-2.7777777777777776E-2</v>
      </c>
      <c r="U41" s="9" t="s">
        <v>1213</v>
      </c>
    </row>
    <row r="42" spans="1:22" ht="15" customHeight="1" x14ac:dyDescent="0.2">
      <c r="A42" s="789" t="s">
        <v>330</v>
      </c>
      <c r="B42" s="790"/>
      <c r="D42" s="250">
        <f>SUM(D39:D41)</f>
        <v>0</v>
      </c>
      <c r="E42" s="250">
        <f t="shared" ref="E42:H42" si="10">SUM(E39:E41)</f>
        <v>0</v>
      </c>
      <c r="F42" s="250">
        <f t="shared" si="10"/>
        <v>0</v>
      </c>
      <c r="G42" s="250">
        <f t="shared" si="10"/>
        <v>0</v>
      </c>
      <c r="H42" s="251">
        <f t="shared" si="10"/>
        <v>0</v>
      </c>
      <c r="I42" s="248"/>
      <c r="O42" s="567" t="s">
        <v>84</v>
      </c>
      <c r="P42" s="567">
        <f>SUM(P36:P41)</f>
        <v>1280</v>
      </c>
      <c r="Q42" s="567">
        <f>SUM(Q36:Q41)</f>
        <v>1967</v>
      </c>
      <c r="R42" s="567"/>
      <c r="S42" s="570">
        <f t="shared" si="7"/>
        <v>0.53671875000000002</v>
      </c>
    </row>
    <row r="43" spans="1:22" ht="8.25" customHeight="1" x14ac:dyDescent="0.25">
      <c r="A43" s="348"/>
      <c r="B43" s="349"/>
      <c r="C43" s="335"/>
      <c r="D43" s="335"/>
      <c r="E43" s="335"/>
      <c r="F43" s="335"/>
      <c r="G43" s="335"/>
      <c r="H43" s="335"/>
      <c r="J43" s="231"/>
    </row>
    <row r="44" spans="1:22" x14ac:dyDescent="0.2">
      <c r="A44" s="229" t="str">
        <f>IF(A18="","",A18)</f>
        <v/>
      </c>
      <c r="B44" s="235" t="str">
        <f>B65</f>
        <v>HJ</v>
      </c>
      <c r="C44" s="350"/>
      <c r="D44" s="343"/>
      <c r="E44" s="343"/>
      <c r="F44" s="343"/>
      <c r="G44" s="343"/>
      <c r="H44" s="343"/>
      <c r="I44" s="248"/>
      <c r="J44" s="231"/>
      <c r="K44" s="319"/>
      <c r="L44" s="336"/>
    </row>
    <row r="45" spans="1:22" x14ac:dyDescent="0.2">
      <c r="A45" s="229" t="str">
        <f>IF(A19="","",A19)</f>
        <v/>
      </c>
      <c r="B45" s="235" t="str">
        <f>B66</f>
        <v>Séances</v>
      </c>
      <c r="C45" s="351"/>
      <c r="D45" s="343"/>
      <c r="E45" s="343"/>
      <c r="F45" s="343"/>
      <c r="G45" s="343"/>
      <c r="H45" s="343"/>
      <c r="I45" s="3"/>
      <c r="J45" s="231"/>
      <c r="K45" s="319"/>
      <c r="L45" s="336"/>
      <c r="N45" s="568" t="s">
        <v>797</v>
      </c>
      <c r="O45" s="568" t="s">
        <v>798</v>
      </c>
      <c r="P45" s="569">
        <v>2021</v>
      </c>
      <c r="Q45" s="569" t="s">
        <v>793</v>
      </c>
      <c r="R45" s="569"/>
      <c r="S45" s="569" t="s">
        <v>794</v>
      </c>
    </row>
    <row r="46" spans="1:22" x14ac:dyDescent="0.2">
      <c r="B46" s="261"/>
      <c r="C46" s="261"/>
      <c r="D46" s="338"/>
      <c r="E46" s="338"/>
      <c r="F46" s="339"/>
      <c r="G46" s="339"/>
      <c r="H46" s="339"/>
      <c r="I46" s="248"/>
      <c r="J46" s="231"/>
      <c r="K46" s="228"/>
      <c r="L46" s="25"/>
      <c r="N46" s="567" t="s">
        <v>761</v>
      </c>
      <c r="O46" s="585">
        <v>207.9</v>
      </c>
      <c r="P46" s="585">
        <f t="shared" ref="P46:P51" si="11">O46*P36</f>
        <v>13721.4</v>
      </c>
      <c r="Q46" s="585">
        <f t="shared" ref="Q46:Q51" si="12">O46*Q36</f>
        <v>14553</v>
      </c>
      <c r="R46" s="585"/>
      <c r="S46" s="566">
        <f>(Q46-P46)/P46</f>
        <v>6.0606060606060635E-2</v>
      </c>
    </row>
    <row r="47" spans="1:22" ht="16" x14ac:dyDescent="0.2">
      <c r="B47" s="337" t="s">
        <v>6</v>
      </c>
      <c r="C47" s="352"/>
      <c r="D47" s="344"/>
      <c r="E47" s="344"/>
      <c r="F47" s="344"/>
      <c r="G47" s="344"/>
      <c r="H47" s="344"/>
      <c r="I47" s="248"/>
      <c r="J47" s="72" t="s">
        <v>8</v>
      </c>
      <c r="K47" s="72"/>
      <c r="L47" s="340">
        <f>27.6+5</f>
        <v>32.6</v>
      </c>
      <c r="N47" s="567" t="s">
        <v>745</v>
      </c>
      <c r="O47" s="585">
        <v>882.9</v>
      </c>
      <c r="P47" s="585">
        <f t="shared" si="11"/>
        <v>241031.69999999998</v>
      </c>
      <c r="Q47" s="585">
        <f t="shared" si="12"/>
        <v>199535.4</v>
      </c>
      <c r="R47" s="585"/>
      <c r="S47" s="566">
        <f>(Q47-P47)/P47</f>
        <v>-0.17216117216117213</v>
      </c>
    </row>
    <row r="48" spans="1:22" x14ac:dyDescent="0.2">
      <c r="B48" s="253"/>
      <c r="C48" s="253"/>
      <c r="D48" s="608"/>
      <c r="E48" s="608"/>
      <c r="F48" s="608"/>
      <c r="G48" s="608"/>
      <c r="H48" s="608"/>
      <c r="I48" s="248"/>
      <c r="L48" s="609"/>
      <c r="N48" s="567" t="s">
        <v>1145</v>
      </c>
      <c r="O48" s="585">
        <v>1503</v>
      </c>
      <c r="P48" s="585">
        <f t="shared" si="11"/>
        <v>568134</v>
      </c>
      <c r="Q48" s="585">
        <f t="shared" si="12"/>
        <v>743985</v>
      </c>
      <c r="R48" s="585"/>
      <c r="S48" s="566">
        <f>(Q48-P48)/P48</f>
        <v>0.30952380952380953</v>
      </c>
    </row>
    <row r="49" spans="1:23" x14ac:dyDescent="0.2">
      <c r="B49" s="240"/>
      <c r="C49" s="228"/>
      <c r="D49" s="228"/>
      <c r="E49" s="228"/>
      <c r="F49" s="228"/>
      <c r="G49" s="228"/>
      <c r="H49" s="228"/>
      <c r="N49" s="567" t="s">
        <v>739</v>
      </c>
      <c r="O49" s="585">
        <v>2205.9</v>
      </c>
      <c r="P49" s="585">
        <f t="shared" si="11"/>
        <v>922066.20000000007</v>
      </c>
      <c r="Q49" s="585">
        <f t="shared" si="12"/>
        <v>2241194.4</v>
      </c>
      <c r="R49" s="585"/>
      <c r="S49" s="566">
        <f t="shared" ref="S49:S52" si="13">(Q49-P49)/P49</f>
        <v>1.4306220095693776</v>
      </c>
    </row>
    <row r="50" spans="1:23" x14ac:dyDescent="0.2">
      <c r="A50" s="791" t="s">
        <v>328</v>
      </c>
      <c r="B50" s="791"/>
      <c r="C50" s="228"/>
      <c r="D50" s="228"/>
      <c r="E50" s="228"/>
      <c r="F50" s="228"/>
      <c r="G50" s="228"/>
      <c r="H50" s="228"/>
      <c r="J50" s="253"/>
      <c r="N50" s="567" t="s">
        <v>795</v>
      </c>
      <c r="O50" s="585">
        <v>373</v>
      </c>
      <c r="P50" s="585">
        <f t="shared" si="11"/>
        <v>27229</v>
      </c>
      <c r="Q50" s="585">
        <f t="shared" si="12"/>
        <v>33570</v>
      </c>
      <c r="R50" s="585"/>
      <c r="S50" s="566">
        <f t="shared" si="13"/>
        <v>0.23287671232876711</v>
      </c>
      <c r="U50" s="9" t="s">
        <v>1211</v>
      </c>
      <c r="W50" s="684"/>
    </row>
    <row r="51" spans="1:23" x14ac:dyDescent="0.2">
      <c r="A51" s="226" t="s">
        <v>320</v>
      </c>
      <c r="B51" s="227" t="s">
        <v>321</v>
      </c>
      <c r="C51" s="254"/>
      <c r="D51" s="255">
        <f>An_1</f>
        <v>2023</v>
      </c>
      <c r="E51" s="255">
        <f>+D51+1</f>
        <v>2024</v>
      </c>
      <c r="F51" s="255">
        <f t="shared" ref="F51:H51" si="14">+E51+1</f>
        <v>2025</v>
      </c>
      <c r="G51" s="255">
        <f t="shared" si="14"/>
        <v>2026</v>
      </c>
      <c r="H51" s="255">
        <f t="shared" si="14"/>
        <v>2027</v>
      </c>
      <c r="I51" s="777" t="s">
        <v>699</v>
      </c>
      <c r="J51" s="777"/>
      <c r="K51" s="777"/>
      <c r="L51" s="777"/>
      <c r="M51" s="777"/>
      <c r="N51" s="567" t="s">
        <v>796</v>
      </c>
      <c r="O51" s="585">
        <v>621</v>
      </c>
      <c r="P51" s="585">
        <f t="shared" si="11"/>
        <v>44712</v>
      </c>
      <c r="Q51" s="585">
        <f t="shared" si="12"/>
        <v>43470</v>
      </c>
      <c r="R51" s="585"/>
      <c r="S51" s="566">
        <f t="shared" si="13"/>
        <v>-2.7777777777777776E-2</v>
      </c>
      <c r="U51" s="9" t="s">
        <v>1211</v>
      </c>
    </row>
    <row r="52" spans="1:23" x14ac:dyDescent="0.2">
      <c r="A52" s="229" t="str">
        <f t="shared" ref="A52:B54" si="15">IF(A13="","",A13)</f>
        <v/>
      </c>
      <c r="B52" s="229" t="str">
        <f t="shared" si="15"/>
        <v/>
      </c>
      <c r="C52" s="72"/>
      <c r="D52" s="345">
        <f t="shared" ref="D52:H54" si="16">ROUND(D39*$D23,0)</f>
        <v>0</v>
      </c>
      <c r="E52" s="345">
        <f t="shared" si="16"/>
        <v>0</v>
      </c>
      <c r="F52" s="345">
        <f t="shared" si="16"/>
        <v>0</v>
      </c>
      <c r="G52" s="345">
        <f t="shared" si="16"/>
        <v>0</v>
      </c>
      <c r="H52" s="345">
        <f t="shared" si="16"/>
        <v>0</v>
      </c>
      <c r="I52" s="777"/>
      <c r="J52" s="777"/>
      <c r="K52" s="777"/>
      <c r="L52" s="777"/>
      <c r="M52" s="777"/>
      <c r="N52" s="567" t="s">
        <v>84</v>
      </c>
      <c r="O52" s="586" t="s">
        <v>873</v>
      </c>
      <c r="P52" s="587">
        <f>SUM(P46:P51)</f>
        <v>1816894.3</v>
      </c>
      <c r="Q52" s="587">
        <f>SUM(Q46:Q51)</f>
        <v>3276307.8</v>
      </c>
      <c r="R52" s="587"/>
      <c r="S52" s="570">
        <f t="shared" si="13"/>
        <v>0.8032462317703345</v>
      </c>
    </row>
    <row r="53" spans="1:23" x14ac:dyDescent="0.2">
      <c r="A53" s="229" t="str">
        <f t="shared" si="15"/>
        <v/>
      </c>
      <c r="B53" s="72" t="str">
        <f t="shared" si="15"/>
        <v/>
      </c>
      <c r="C53" s="72"/>
      <c r="D53" s="345">
        <f t="shared" si="16"/>
        <v>0</v>
      </c>
      <c r="E53" s="345">
        <f t="shared" si="16"/>
        <v>0</v>
      </c>
      <c r="F53" s="345">
        <f t="shared" si="16"/>
        <v>0</v>
      </c>
      <c r="G53" s="345">
        <f t="shared" si="16"/>
        <v>0</v>
      </c>
      <c r="H53" s="345">
        <f t="shared" si="16"/>
        <v>0</v>
      </c>
      <c r="I53" s="777"/>
      <c r="J53" s="777"/>
      <c r="K53" s="777"/>
      <c r="L53" s="777"/>
      <c r="M53" s="777"/>
    </row>
    <row r="54" spans="1:23" hidden="1" x14ac:dyDescent="0.2">
      <c r="A54" s="229" t="str">
        <f t="shared" si="15"/>
        <v/>
      </c>
      <c r="B54" s="72" t="str">
        <f t="shared" si="15"/>
        <v/>
      </c>
      <c r="C54" s="72"/>
      <c r="D54" s="345">
        <f t="shared" si="16"/>
        <v>0</v>
      </c>
      <c r="E54" s="345">
        <f t="shared" si="16"/>
        <v>0</v>
      </c>
      <c r="F54" s="345">
        <f t="shared" si="16"/>
        <v>0</v>
      </c>
      <c r="G54" s="345">
        <f t="shared" si="16"/>
        <v>0</v>
      </c>
      <c r="H54" s="345">
        <f t="shared" si="16"/>
        <v>0</v>
      </c>
      <c r="I54" s="777"/>
      <c r="J54" s="777"/>
      <c r="K54" s="777"/>
      <c r="L54" s="777"/>
      <c r="M54" s="777"/>
    </row>
    <row r="55" spans="1:23" ht="19" x14ac:dyDescent="0.35">
      <c r="A55" s="789" t="s">
        <v>338</v>
      </c>
      <c r="B55" s="790"/>
      <c r="C55" s="250"/>
      <c r="D55" s="250">
        <f>SUM(D52:D54)</f>
        <v>0</v>
      </c>
      <c r="E55" s="250">
        <f t="shared" ref="E55:H55" si="17">SUM(E52:E54)</f>
        <v>0</v>
      </c>
      <c r="F55" s="250">
        <f t="shared" si="17"/>
        <v>0</v>
      </c>
      <c r="G55" s="251">
        <f t="shared" si="17"/>
        <v>0</v>
      </c>
      <c r="H55" s="251">
        <f t="shared" si="17"/>
        <v>0</v>
      </c>
      <c r="I55" s="248"/>
      <c r="N55" s="194" t="s">
        <v>1195</v>
      </c>
      <c r="O55" s="194"/>
      <c r="P55" s="597">
        <v>0.5</v>
      </c>
      <c r="Q55" s="598">
        <f>Q52*P55</f>
        <v>1638153.9</v>
      </c>
      <c r="R55" s="598"/>
    </row>
    <row r="56" spans="1:23" ht="19" x14ac:dyDescent="0.25">
      <c r="A56" s="256"/>
      <c r="B56" s="234"/>
      <c r="C56" s="223"/>
      <c r="D56" s="223"/>
      <c r="E56" s="223"/>
      <c r="F56" s="223"/>
      <c r="G56" s="223"/>
      <c r="H56" s="223"/>
      <c r="J56" s="231"/>
    </row>
    <row r="57" spans="1:23" x14ac:dyDescent="0.2">
      <c r="A57" s="229"/>
      <c r="B57" s="235" t="s">
        <v>323</v>
      </c>
      <c r="C57" s="72"/>
      <c r="D57" s="346">
        <f>D44</f>
        <v>0</v>
      </c>
      <c r="E57" s="346">
        <f>E44</f>
        <v>0</v>
      </c>
      <c r="F57" s="346">
        <f>F44</f>
        <v>0</v>
      </c>
      <c r="G57" s="346">
        <f>G44</f>
        <v>0</v>
      </c>
      <c r="H57" s="346">
        <f>H44</f>
        <v>0</v>
      </c>
      <c r="I57" s="777"/>
      <c r="J57" s="777"/>
      <c r="K57" s="777"/>
      <c r="L57" s="777"/>
      <c r="M57" s="777"/>
    </row>
    <row r="58" spans="1:23" x14ac:dyDescent="0.2">
      <c r="A58" s="236"/>
      <c r="B58" s="235" t="s">
        <v>324</v>
      </c>
      <c r="C58" s="72"/>
      <c r="D58" s="345">
        <f>+D45</f>
        <v>0</v>
      </c>
      <c r="E58" s="345">
        <f>+E45</f>
        <v>0</v>
      </c>
      <c r="F58" s="345">
        <f>+F45</f>
        <v>0</v>
      </c>
      <c r="G58" s="345">
        <f>+G45</f>
        <v>0</v>
      </c>
      <c r="H58" s="345">
        <f>+H45</f>
        <v>0</v>
      </c>
      <c r="I58" s="777"/>
      <c r="J58" s="777"/>
      <c r="K58" s="777"/>
      <c r="L58" s="777"/>
      <c r="M58" s="777"/>
    </row>
    <row r="59" spans="1:23" x14ac:dyDescent="0.2">
      <c r="D59" s="70"/>
      <c r="E59" s="73"/>
      <c r="F59" s="73"/>
      <c r="G59" s="73"/>
      <c r="H59" s="73"/>
    </row>
    <row r="60" spans="1:23" ht="24" x14ac:dyDescent="0.3">
      <c r="A60" s="257" t="s">
        <v>529</v>
      </c>
      <c r="B60" s="239"/>
      <c r="C60" s="241" t="str">
        <f t="shared" ref="C60:H60" si="18">"TO "&amp;C12</f>
        <v>TO Actuel</v>
      </c>
      <c r="D60" s="241" t="str">
        <f t="shared" si="18"/>
        <v>TO 2023</v>
      </c>
      <c r="E60" s="241" t="str">
        <f t="shared" si="18"/>
        <v>TO 2024</v>
      </c>
      <c r="F60" s="241" t="str">
        <f t="shared" si="18"/>
        <v>TO 2025</v>
      </c>
      <c r="G60" s="241" t="str">
        <f t="shared" si="18"/>
        <v>TO 2026</v>
      </c>
      <c r="H60" s="241" t="str">
        <f t="shared" si="18"/>
        <v>TO 2027</v>
      </c>
      <c r="I60" s="777" t="s">
        <v>699</v>
      </c>
      <c r="J60" s="777"/>
      <c r="K60" s="777"/>
      <c r="L60" s="777"/>
      <c r="M60" s="777"/>
    </row>
    <row r="61" spans="1:23" x14ac:dyDescent="0.2">
      <c r="A61" s="229" t="str">
        <f t="shared" ref="A61:B63" si="19">IF(A13="","",A13)</f>
        <v/>
      </c>
      <c r="B61" s="229" t="str">
        <f t="shared" si="19"/>
        <v/>
      </c>
      <c r="C61" s="322"/>
      <c r="D61" s="258" t="str">
        <f t="shared" ref="D61:H63" si="20">IFERROR(D52/(D13*365),"")</f>
        <v/>
      </c>
      <c r="E61" s="258" t="str">
        <f t="shared" si="20"/>
        <v/>
      </c>
      <c r="F61" s="258" t="str">
        <f t="shared" si="20"/>
        <v/>
      </c>
      <c r="G61" s="258" t="str">
        <f t="shared" si="20"/>
        <v/>
      </c>
      <c r="H61" s="258" t="str">
        <f t="shared" si="20"/>
        <v/>
      </c>
      <c r="I61" s="777"/>
      <c r="J61" s="777"/>
      <c r="K61" s="777"/>
      <c r="L61" s="777"/>
      <c r="M61" s="777"/>
    </row>
    <row r="62" spans="1:23" ht="15" customHeight="1" x14ac:dyDescent="0.2">
      <c r="A62" s="229" t="str">
        <f t="shared" si="19"/>
        <v/>
      </c>
      <c r="B62" s="229" t="str">
        <f t="shared" si="19"/>
        <v/>
      </c>
      <c r="C62" s="322"/>
      <c r="D62" s="258" t="str">
        <f t="shared" si="20"/>
        <v/>
      </c>
      <c r="E62" s="258" t="str">
        <f t="shared" si="20"/>
        <v/>
      </c>
      <c r="F62" s="258" t="str">
        <f t="shared" si="20"/>
        <v/>
      </c>
      <c r="G62" s="258" t="str">
        <f t="shared" si="20"/>
        <v/>
      </c>
      <c r="H62" s="258" t="str">
        <f t="shared" si="20"/>
        <v/>
      </c>
      <c r="I62" s="777"/>
      <c r="J62" s="777"/>
      <c r="K62" s="777"/>
      <c r="L62" s="777"/>
      <c r="M62" s="777"/>
    </row>
    <row r="63" spans="1:23" x14ac:dyDescent="0.2">
      <c r="A63" s="229" t="str">
        <f t="shared" si="19"/>
        <v/>
      </c>
      <c r="B63" s="229" t="str">
        <f t="shared" si="19"/>
        <v/>
      </c>
      <c r="C63" s="322"/>
      <c r="D63" s="258" t="str">
        <f t="shared" si="20"/>
        <v/>
      </c>
      <c r="E63" s="258" t="str">
        <f t="shared" si="20"/>
        <v/>
      </c>
      <c r="F63" s="258" t="str">
        <f t="shared" si="20"/>
        <v/>
      </c>
      <c r="G63" s="258" t="str">
        <f t="shared" si="20"/>
        <v/>
      </c>
      <c r="H63" s="258" t="str">
        <f t="shared" si="20"/>
        <v/>
      </c>
      <c r="I63" s="777"/>
      <c r="J63" s="777"/>
      <c r="K63" s="777"/>
      <c r="L63" s="777"/>
      <c r="M63" s="777"/>
    </row>
    <row r="64" spans="1:23" ht="8.25" customHeight="1" x14ac:dyDescent="0.25">
      <c r="A64" s="256"/>
      <c r="B64" s="234"/>
      <c r="C64" s="347"/>
      <c r="D64" s="347"/>
      <c r="E64" s="347"/>
      <c r="F64" s="347"/>
      <c r="G64" s="347"/>
      <c r="H64" s="347"/>
      <c r="J64" s="231"/>
    </row>
    <row r="65" spans="1:13" x14ac:dyDescent="0.2">
      <c r="A65" s="229"/>
      <c r="B65" s="235" t="str">
        <f>+B18</f>
        <v>HJ</v>
      </c>
      <c r="C65" s="322"/>
      <c r="D65" s="258" t="str">
        <f t="shared" ref="D65:H66" si="21">IFERROR(D44/($D18*250),"")</f>
        <v/>
      </c>
      <c r="E65" s="258" t="str">
        <f t="shared" si="21"/>
        <v/>
      </c>
      <c r="F65" s="258" t="str">
        <f t="shared" si="21"/>
        <v/>
      </c>
      <c r="G65" s="258" t="str">
        <f t="shared" si="21"/>
        <v/>
      </c>
      <c r="H65" s="258" t="str">
        <f t="shared" si="21"/>
        <v/>
      </c>
      <c r="I65" s="777"/>
      <c r="J65" s="777"/>
      <c r="K65" s="777"/>
      <c r="L65" s="777"/>
      <c r="M65" s="777"/>
    </row>
    <row r="66" spans="1:13" x14ac:dyDescent="0.2">
      <c r="A66" s="236"/>
      <c r="B66" s="235" t="str">
        <f>+B19</f>
        <v>Séances</v>
      </c>
      <c r="C66" s="322"/>
      <c r="D66" s="258" t="str">
        <f t="shared" si="21"/>
        <v/>
      </c>
      <c r="E66" s="258" t="str">
        <f t="shared" si="21"/>
        <v/>
      </c>
      <c r="F66" s="258" t="str">
        <f t="shared" si="21"/>
        <v/>
      </c>
      <c r="G66" s="258" t="str">
        <f t="shared" si="21"/>
        <v/>
      </c>
      <c r="H66" s="258" t="str">
        <f t="shared" si="21"/>
        <v/>
      </c>
      <c r="I66" s="777"/>
      <c r="J66" s="777"/>
      <c r="K66" s="777"/>
      <c r="L66" s="777"/>
      <c r="M66" s="777"/>
    </row>
    <row r="68" spans="1:13" ht="25" thickBot="1" x14ac:dyDescent="0.35">
      <c r="A68" s="792" t="s">
        <v>7</v>
      </c>
      <c r="B68" s="792"/>
      <c r="C68" s="792"/>
      <c r="D68" s="792"/>
      <c r="E68" s="792"/>
      <c r="F68" s="792"/>
      <c r="G68" s="792"/>
      <c r="H68" s="792"/>
      <c r="I68" s="248"/>
    </row>
    <row r="69" spans="1:13" ht="16" thickBot="1" x14ac:dyDescent="0.25">
      <c r="B69" s="237" t="s">
        <v>495</v>
      </c>
      <c r="C69" s="210" t="s">
        <v>497</v>
      </c>
    </row>
    <row r="70" spans="1:13" ht="16" thickBot="1" x14ac:dyDescent="0.25"/>
    <row r="71" spans="1:13" ht="16" thickBot="1" x14ac:dyDescent="0.25">
      <c r="C71" s="4"/>
      <c r="D71" s="199">
        <f>An_1</f>
        <v>2023</v>
      </c>
      <c r="E71" s="6">
        <f>+D71+1</f>
        <v>2024</v>
      </c>
      <c r="F71" s="6">
        <f t="shared" ref="F71:H71" si="22">+E71+1</f>
        <v>2025</v>
      </c>
      <c r="G71" s="7">
        <f t="shared" si="22"/>
        <v>2026</v>
      </c>
      <c r="H71" s="8">
        <f t="shared" si="22"/>
        <v>2027</v>
      </c>
      <c r="I71" s="777" t="s">
        <v>699</v>
      </c>
      <c r="J71" s="777"/>
      <c r="K71" s="777"/>
      <c r="L71" s="777"/>
      <c r="M71" s="777"/>
    </row>
    <row r="72" spans="1:13" ht="33" thickBot="1" x14ac:dyDescent="0.25">
      <c r="B72" s="334" t="s">
        <v>333</v>
      </c>
      <c r="C72" s="161"/>
      <c r="D72" s="433">
        <f>SUM(D73:D75)</f>
        <v>0</v>
      </c>
      <c r="E72" s="434">
        <f>SUM(E73:E75)</f>
        <v>0</v>
      </c>
      <c r="F72" s="434">
        <f>SUM(F73:F75)</f>
        <v>0</v>
      </c>
      <c r="G72" s="434">
        <f>SUM(G73:G75)</f>
        <v>0</v>
      </c>
      <c r="H72" s="435">
        <f>SUM(H73:H75)</f>
        <v>0</v>
      </c>
      <c r="I72" s="777"/>
      <c r="J72" s="777"/>
      <c r="K72" s="777"/>
      <c r="L72" s="777"/>
      <c r="M72" s="777"/>
    </row>
    <row r="73" spans="1:13" x14ac:dyDescent="0.2">
      <c r="A73" s="328" t="str">
        <f t="shared" ref="A73:B75" si="23">IF(A13="","",A13)</f>
        <v/>
      </c>
      <c r="B73" s="329" t="str">
        <f t="shared" si="23"/>
        <v/>
      </c>
      <c r="C73" s="353"/>
      <c r="D73" s="499">
        <f t="shared" ref="D73:H75" si="24">IF($C$69="Tarif GHS", D39*$L39,D52*$M39)</f>
        <v>0</v>
      </c>
      <c r="E73" s="500">
        <f t="shared" si="24"/>
        <v>0</v>
      </c>
      <c r="F73" s="500">
        <f t="shared" si="24"/>
        <v>0</v>
      </c>
      <c r="G73" s="500">
        <f t="shared" si="24"/>
        <v>0</v>
      </c>
      <c r="H73" s="501">
        <f t="shared" si="24"/>
        <v>0</v>
      </c>
      <c r="I73" s="777"/>
      <c r="J73" s="777"/>
      <c r="K73" s="777"/>
      <c r="L73" s="777"/>
      <c r="M73" s="777"/>
    </row>
    <row r="74" spans="1:13" x14ac:dyDescent="0.2">
      <c r="A74" s="330" t="str">
        <f t="shared" si="23"/>
        <v/>
      </c>
      <c r="B74" s="331" t="str">
        <f t="shared" si="23"/>
        <v/>
      </c>
      <c r="C74" s="354"/>
      <c r="D74" s="499">
        <f t="shared" si="24"/>
        <v>0</v>
      </c>
      <c r="E74" s="500">
        <f t="shared" si="24"/>
        <v>0</v>
      </c>
      <c r="F74" s="500">
        <f t="shared" si="24"/>
        <v>0</v>
      </c>
      <c r="G74" s="500">
        <f t="shared" si="24"/>
        <v>0</v>
      </c>
      <c r="H74" s="501">
        <f t="shared" si="24"/>
        <v>0</v>
      </c>
      <c r="I74" s="777"/>
      <c r="J74" s="777"/>
      <c r="K74" s="777"/>
      <c r="L74" s="777"/>
      <c r="M74" s="777"/>
    </row>
    <row r="75" spans="1:13" ht="16" thickBot="1" x14ac:dyDescent="0.25">
      <c r="A75" s="332" t="str">
        <f t="shared" si="23"/>
        <v/>
      </c>
      <c r="B75" s="333" t="str">
        <f t="shared" si="23"/>
        <v/>
      </c>
      <c r="C75" s="355"/>
      <c r="D75" s="502">
        <f t="shared" si="24"/>
        <v>0</v>
      </c>
      <c r="E75" s="503">
        <f t="shared" si="24"/>
        <v>0</v>
      </c>
      <c r="F75" s="503">
        <f t="shared" si="24"/>
        <v>0</v>
      </c>
      <c r="G75" s="503">
        <f t="shared" si="24"/>
        <v>0</v>
      </c>
      <c r="H75" s="504">
        <f t="shared" si="24"/>
        <v>0</v>
      </c>
      <c r="I75" s="777"/>
      <c r="J75" s="777"/>
      <c r="K75" s="777"/>
      <c r="L75" s="777"/>
      <c r="M75" s="777"/>
    </row>
    <row r="76" spans="1:13" ht="16" thickBot="1" x14ac:dyDescent="0.25">
      <c r="B76" s="259"/>
      <c r="D76" s="505"/>
      <c r="E76" s="505"/>
      <c r="F76" s="505"/>
      <c r="G76" s="505"/>
      <c r="H76" s="505"/>
    </row>
    <row r="77" spans="1:13" ht="33" thickBot="1" x14ac:dyDescent="0.25">
      <c r="B77" s="356" t="s">
        <v>334</v>
      </c>
      <c r="C77" s="357"/>
      <c r="D77" s="430">
        <f>+D44*$L44</f>
        <v>0</v>
      </c>
      <c r="E77" s="431">
        <f>+E44*$L44</f>
        <v>0</v>
      </c>
      <c r="F77" s="431">
        <f>+F44*$L44</f>
        <v>0</v>
      </c>
      <c r="G77" s="431">
        <f>+G44*$L44</f>
        <v>0</v>
      </c>
      <c r="H77" s="432">
        <f>+H44*$L44</f>
        <v>0</v>
      </c>
      <c r="I77" s="777"/>
      <c r="J77" s="777"/>
      <c r="K77" s="777"/>
      <c r="L77" s="777"/>
      <c r="M77" s="777"/>
    </row>
    <row r="78" spans="1:13" ht="16" thickBot="1" x14ac:dyDescent="0.25">
      <c r="B78" s="260"/>
      <c r="C78" s="261"/>
      <c r="D78" s="313"/>
      <c r="E78" s="314"/>
      <c r="F78" s="315"/>
      <c r="G78" s="315"/>
      <c r="H78" s="315"/>
    </row>
    <row r="79" spans="1:13" ht="17" thickBot="1" x14ac:dyDescent="0.25">
      <c r="B79" s="356" t="s">
        <v>335</v>
      </c>
      <c r="C79" s="357"/>
      <c r="D79" s="430">
        <f>+D45*$L45</f>
        <v>0</v>
      </c>
      <c r="E79" s="431">
        <f>+E45*$L45</f>
        <v>0</v>
      </c>
      <c r="F79" s="431">
        <f>+F45*$L45</f>
        <v>0</v>
      </c>
      <c r="G79" s="431">
        <f>+G45*$L45</f>
        <v>0</v>
      </c>
      <c r="H79" s="432">
        <f>+H45*$L45</f>
        <v>0</v>
      </c>
      <c r="I79" s="777"/>
      <c r="J79" s="777"/>
      <c r="K79" s="777"/>
      <c r="L79" s="777"/>
      <c r="M79" s="777"/>
    </row>
    <row r="80" spans="1:13" ht="16" thickBot="1" x14ac:dyDescent="0.25">
      <c r="B80" s="262"/>
      <c r="C80" s="263"/>
      <c r="D80" s="316"/>
      <c r="E80" s="316"/>
      <c r="F80" s="317"/>
      <c r="G80" s="317"/>
      <c r="H80" s="317"/>
    </row>
    <row r="81" spans="1:13" ht="17" thickBot="1" x14ac:dyDescent="0.25">
      <c r="B81" s="356" t="s">
        <v>31</v>
      </c>
      <c r="C81" s="357"/>
      <c r="D81" s="430">
        <f>+D47*$L$47</f>
        <v>0</v>
      </c>
      <c r="E81" s="431">
        <f>+E47*$L$47</f>
        <v>0</v>
      </c>
      <c r="F81" s="431">
        <f>+F47*$L$47</f>
        <v>0</v>
      </c>
      <c r="G81" s="431">
        <f>+G47*$L$47</f>
        <v>0</v>
      </c>
      <c r="H81" s="432">
        <f>+H47*$L$47</f>
        <v>0</v>
      </c>
      <c r="I81" s="777"/>
      <c r="J81" s="777"/>
      <c r="K81" s="777"/>
      <c r="L81" s="777"/>
      <c r="M81" s="777"/>
    </row>
    <row r="82" spans="1:13" ht="16" thickBot="1" x14ac:dyDescent="0.25"/>
    <row r="83" spans="1:13" ht="17" thickBot="1" x14ac:dyDescent="0.25">
      <c r="B83" s="356" t="s">
        <v>494</v>
      </c>
      <c r="C83" s="357"/>
      <c r="D83" s="430">
        <f>+'2.4 Dep Med et MDT'!B20+'2.4 Dep Med et MDT'!B21+'2.4 Dep Med et MDT'!B23</f>
        <v>17000</v>
      </c>
      <c r="E83" s="431">
        <f>+'2.4 Dep Med et MDT'!C20+'2.4 Dep Med et MDT'!C21+'2.4 Dep Med et MDT'!C23</f>
        <v>17000</v>
      </c>
      <c r="F83" s="431">
        <f>+'2.4 Dep Med et MDT'!D20+'2.4 Dep Med et MDT'!D21+'2.4 Dep Med et MDT'!D23</f>
        <v>17000</v>
      </c>
      <c r="G83" s="431">
        <f>+'2.4 Dep Med et MDT'!E20+'2.4 Dep Med et MDT'!E21+'2.4 Dep Med et MDT'!E23</f>
        <v>17000</v>
      </c>
      <c r="H83" s="432">
        <f>+'2.4 Dep Med et MDT'!F20+'2.4 Dep Med et MDT'!F21+'2.4 Dep Med et MDT'!F23</f>
        <v>17000</v>
      </c>
      <c r="I83" s="777"/>
      <c r="J83" s="777"/>
      <c r="K83" s="777"/>
      <c r="L83" s="777"/>
      <c r="M83" s="777"/>
    </row>
    <row r="84" spans="1:13" ht="16" thickBot="1" x14ac:dyDescent="0.25"/>
    <row r="85" spans="1:13" ht="49" thickBot="1" x14ac:dyDescent="0.25">
      <c r="B85" s="356" t="s">
        <v>698</v>
      </c>
      <c r="C85" s="357"/>
      <c r="D85" s="323"/>
      <c r="E85" s="324"/>
      <c r="F85" s="324"/>
      <c r="G85" s="324"/>
      <c r="H85" s="325"/>
      <c r="I85" s="777"/>
      <c r="J85" s="777"/>
      <c r="K85" s="777"/>
      <c r="L85" s="777"/>
      <c r="M85" s="777"/>
    </row>
    <row r="86" spans="1:13" ht="16" thickBot="1" x14ac:dyDescent="0.25"/>
    <row r="87" spans="1:13" ht="17" thickBot="1" x14ac:dyDescent="0.25">
      <c r="B87" s="356" t="s">
        <v>502</v>
      </c>
      <c r="C87" s="357"/>
      <c r="D87" s="323"/>
      <c r="E87" s="324"/>
      <c r="F87" s="324"/>
      <c r="G87" s="324"/>
      <c r="H87" s="325"/>
      <c r="I87" s="777"/>
      <c r="J87" s="777"/>
      <c r="K87" s="777"/>
      <c r="L87" s="777"/>
      <c r="M87" s="777"/>
    </row>
    <row r="88" spans="1:13" ht="16" thickBot="1" x14ac:dyDescent="0.25"/>
    <row r="89" spans="1:13" s="264" customFormat="1" ht="20" thickBot="1" x14ac:dyDescent="0.3">
      <c r="A89" s="778" t="s">
        <v>9</v>
      </c>
      <c r="B89" s="779"/>
      <c r="C89" s="780"/>
      <c r="D89" s="341">
        <f>+SUM(D81,D79,D77,D72,D83,D85,D87)</f>
        <v>17000</v>
      </c>
      <c r="E89" s="341">
        <f t="shared" ref="E89:H89" si="25">+SUM(E81,E79,E77,E72,E83,E85,E87)</f>
        <v>17000</v>
      </c>
      <c r="F89" s="341">
        <f t="shared" si="25"/>
        <v>17000</v>
      </c>
      <c r="G89" s="341">
        <f t="shared" si="25"/>
        <v>17000</v>
      </c>
      <c r="H89" s="342">
        <f t="shared" si="25"/>
        <v>17000</v>
      </c>
      <c r="I89" s="9"/>
      <c r="J89" s="9"/>
      <c r="K89" s="9"/>
      <c r="L89" s="9"/>
    </row>
  </sheetData>
  <mergeCells count="41">
    <mergeCell ref="P2:V2"/>
    <mergeCell ref="F2:K2"/>
    <mergeCell ref="F7:H7"/>
    <mergeCell ref="A7:E7"/>
    <mergeCell ref="A68:H68"/>
    <mergeCell ref="I19:M19"/>
    <mergeCell ref="I18:M18"/>
    <mergeCell ref="I15:M15"/>
    <mergeCell ref="I14:M14"/>
    <mergeCell ref="I13:M13"/>
    <mergeCell ref="I12:M12"/>
    <mergeCell ref="I51:M51"/>
    <mergeCell ref="I52:M52"/>
    <mergeCell ref="I53:M53"/>
    <mergeCell ref="I54:M54"/>
    <mergeCell ref="I57:M57"/>
    <mergeCell ref="A89:C89"/>
    <mergeCell ref="A9:H9"/>
    <mergeCell ref="A16:B16"/>
    <mergeCell ref="A34:H34"/>
    <mergeCell ref="A42:B42"/>
    <mergeCell ref="A50:B50"/>
    <mergeCell ref="A55:B55"/>
    <mergeCell ref="I58:M58"/>
    <mergeCell ref="I60:M60"/>
    <mergeCell ref="I61:M61"/>
    <mergeCell ref="I62:M62"/>
    <mergeCell ref="I63:M63"/>
    <mergeCell ref="I65:M65"/>
    <mergeCell ref="I66:M66"/>
    <mergeCell ref="I71:M71"/>
    <mergeCell ref="I72:M72"/>
    <mergeCell ref="I81:M81"/>
    <mergeCell ref="I83:M83"/>
    <mergeCell ref="I85:M85"/>
    <mergeCell ref="I87:M87"/>
    <mergeCell ref="I73:M73"/>
    <mergeCell ref="I74:M74"/>
    <mergeCell ref="I75:M75"/>
    <mergeCell ref="I77:M77"/>
    <mergeCell ref="I79:M79"/>
  </mergeCells>
  <printOptions horizontalCentered="1" verticalCentered="1"/>
  <pageMargins left="0.70866141732283472" right="0.70866141732283472" top="0.74803149606299213" bottom="0.74803149606299213" header="0.31496062992125984" footer="0.31496062992125984"/>
  <pageSetup paperSize="9" scale="83" orientation="portrait" horizontalDpi="1200" verticalDpi="1200" r:id="rId1"/>
  <headerFooter>
    <oddHeader>&amp;C&amp;"-,Gras"&amp;20&amp;K0070C0Activité et Recettes</oddHeader>
    <oddFooter>&amp;LCHU REUNION&amp;C&amp;A
&amp;P/&amp;N&amp;R&amp;F</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promptTitle="Recette par jour ou GHS ?" prompt="Pour l'estimation des recettes, choisir soit Recettes (CA) par jour ou Tarif GHS (par séjour)_x000a_" xr:uid="{00000000-0002-0000-0500-000000000000}">
          <x14:formula1>
            <xm:f>'Listes déroulantes'!$A$2:$A$3</xm:f>
          </x14:formula1>
          <xm:sqref>C69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6">
    <tabColor theme="0" tint="-0.14999847407452621"/>
    <pageSetUpPr fitToPage="1"/>
  </sheetPr>
  <dimension ref="A1:O69"/>
  <sheetViews>
    <sheetView topLeftCell="A37" workbookViewId="0">
      <selection activeCell="D60" sqref="D60"/>
    </sheetView>
  </sheetViews>
  <sheetFormatPr baseColWidth="10" defaultRowHeight="15" x14ac:dyDescent="0.2"/>
  <cols>
    <col min="1" max="1" width="16" customWidth="1"/>
    <col min="2" max="2" width="26.83203125" customWidth="1"/>
    <col min="4" max="4" width="13.1640625" customWidth="1"/>
    <col min="5" max="5" width="13.5" customWidth="1"/>
    <col min="6" max="6" width="12.6640625" customWidth="1"/>
    <col min="7" max="7" width="12.83203125" customWidth="1"/>
    <col min="8" max="8" width="20.33203125" bestFit="1" customWidth="1"/>
    <col min="12" max="12" width="31.1640625" customWidth="1"/>
    <col min="16" max="17" width="2" bestFit="1" customWidth="1"/>
  </cols>
  <sheetData>
    <row r="1" spans="1:15" x14ac:dyDescent="0.2">
      <c r="G1" s="68"/>
    </row>
    <row r="2" spans="1:15" ht="33.75" customHeight="1" x14ac:dyDescent="0.2">
      <c r="D2" s="763" t="str">
        <f>+"2.3 RESSOURCES HUMAINES"</f>
        <v>2.3 RESSOURCES HUMAINES</v>
      </c>
      <c r="E2" s="763"/>
      <c r="F2" s="763"/>
      <c r="G2" s="763"/>
      <c r="H2" s="763"/>
      <c r="I2" s="763"/>
      <c r="J2" s="763"/>
      <c r="K2" s="763"/>
      <c r="L2" s="763"/>
    </row>
    <row r="3" spans="1:15" x14ac:dyDescent="0.2">
      <c r="G3" s="68"/>
    </row>
    <row r="4" spans="1:15" x14ac:dyDescent="0.2">
      <c r="G4" s="68"/>
    </row>
    <row r="5" spans="1:15" ht="18.75" customHeight="1" x14ac:dyDescent="0.25">
      <c r="D5" s="138"/>
      <c r="E5" s="285" t="s">
        <v>245</v>
      </c>
      <c r="F5" s="303" t="str">
        <f>IF(+'2- SYNTHESE FIN'!D5=0,"")</f>
        <v/>
      </c>
      <c r="G5" s="119"/>
      <c r="H5" s="155" t="s">
        <v>524</v>
      </c>
      <c r="I5" s="276" t="str">
        <f>+Cod_projet</f>
        <v>P_21_00x</v>
      </c>
    </row>
    <row r="7" spans="1:15" ht="33.75" customHeight="1" x14ac:dyDescent="0.2">
      <c r="A7" s="770" t="s">
        <v>242</v>
      </c>
      <c r="B7" s="770"/>
      <c r="C7" s="770"/>
      <c r="D7" s="770"/>
      <c r="E7" s="770"/>
      <c r="F7" s="771" t="str">
        <f>+'1- Avant Projet'!G6</f>
        <v>Biologie moléculaire - Plateforme NGS : réinternalisation des examens</v>
      </c>
      <c r="G7" s="771"/>
      <c r="H7" s="771"/>
      <c r="I7" s="308"/>
      <c r="J7" s="308"/>
      <c r="K7" s="309"/>
      <c r="L7" s="309"/>
      <c r="M7" s="9"/>
      <c r="N7" s="9"/>
      <c r="O7" s="9"/>
    </row>
    <row r="9" spans="1:15" ht="16" thickBot="1" x14ac:dyDescent="0.25"/>
    <row r="10" spans="1:15" ht="16" thickBot="1" x14ac:dyDescent="0.25">
      <c r="A10" s="2"/>
      <c r="C10" s="796" t="s">
        <v>12</v>
      </c>
      <c r="D10" s="794" t="s">
        <v>315</v>
      </c>
      <c r="E10" s="794"/>
      <c r="F10" s="794"/>
      <c r="G10" s="794"/>
      <c r="H10" s="795"/>
    </row>
    <row r="11" spans="1:15" ht="42.75" customHeight="1" thickBot="1" x14ac:dyDescent="0.25">
      <c r="A11" s="2"/>
      <c r="C11" s="798"/>
      <c r="D11" s="17">
        <f>An_1</f>
        <v>2023</v>
      </c>
      <c r="E11" s="18">
        <f>+D11+1</f>
        <v>2024</v>
      </c>
      <c r="F11" s="18">
        <f t="shared" ref="F11:H11" si="0">+E11+1</f>
        <v>2025</v>
      </c>
      <c r="G11" s="18">
        <f t="shared" si="0"/>
        <v>2026</v>
      </c>
      <c r="H11" s="19">
        <f t="shared" si="0"/>
        <v>2027</v>
      </c>
      <c r="I11" s="69" t="s">
        <v>49</v>
      </c>
      <c r="J11" s="799" t="s">
        <v>699</v>
      </c>
      <c r="K11" s="800"/>
      <c r="L11" s="800"/>
    </row>
    <row r="12" spans="1:15" ht="19" x14ac:dyDescent="0.25">
      <c r="A12" s="12"/>
      <c r="B12" s="16" t="s">
        <v>10</v>
      </c>
      <c r="C12" s="506">
        <f>SUM(C13:C18)</f>
        <v>0</v>
      </c>
      <c r="D12" s="507">
        <f>+D13+D15+D14+D16</f>
        <v>1</v>
      </c>
      <c r="E12" s="507">
        <f>+E13+E15+E14+E16</f>
        <v>0</v>
      </c>
      <c r="F12" s="507">
        <f>+F13+F15+F14+F16</f>
        <v>0</v>
      </c>
      <c r="G12" s="507">
        <f>+G13+G15+G14+G16</f>
        <v>0</v>
      </c>
      <c r="H12" s="508">
        <f>+H13+H15+H14+H16</f>
        <v>0</v>
      </c>
      <c r="I12" s="509">
        <f>SUM(D12:H12)</f>
        <v>1</v>
      </c>
      <c r="J12" s="793"/>
      <c r="K12" s="767"/>
      <c r="L12" s="767"/>
    </row>
    <row r="13" spans="1:15" x14ac:dyDescent="0.2">
      <c r="A13" s="13"/>
      <c r="B13" s="358" t="s">
        <v>295</v>
      </c>
      <c r="C13" s="377"/>
      <c r="D13" s="375">
        <v>1</v>
      </c>
      <c r="E13" s="375"/>
      <c r="F13" s="375"/>
      <c r="G13" s="375"/>
      <c r="H13" s="376"/>
      <c r="I13" s="510">
        <f t="shared" ref="I13:I18" si="1">SUM(D13:H13)</f>
        <v>1</v>
      </c>
      <c r="J13" s="793" t="s">
        <v>1346</v>
      </c>
      <c r="K13" s="767"/>
      <c r="L13" s="767"/>
    </row>
    <row r="14" spans="1:15" x14ac:dyDescent="0.2">
      <c r="A14" s="14"/>
      <c r="B14" s="361" t="s">
        <v>296</v>
      </c>
      <c r="C14" s="377"/>
      <c r="D14" s="375"/>
      <c r="E14" s="375"/>
      <c r="F14" s="375"/>
      <c r="G14" s="375"/>
      <c r="H14" s="376"/>
      <c r="I14" s="510">
        <f t="shared" si="1"/>
        <v>0</v>
      </c>
      <c r="J14" s="793"/>
      <c r="K14" s="767"/>
      <c r="L14" s="767"/>
    </row>
    <row r="15" spans="1:15" x14ac:dyDescent="0.2">
      <c r="A15" s="14"/>
      <c r="B15" s="362" t="s">
        <v>297</v>
      </c>
      <c r="C15" s="377"/>
      <c r="D15" s="375"/>
      <c r="E15" s="375"/>
      <c r="F15" s="375"/>
      <c r="G15" s="375"/>
      <c r="H15" s="376"/>
      <c r="I15" s="510">
        <f t="shared" si="1"/>
        <v>0</v>
      </c>
      <c r="J15" s="793"/>
      <c r="K15" s="767"/>
      <c r="L15" s="767"/>
    </row>
    <row r="16" spans="1:15" x14ac:dyDescent="0.2">
      <c r="A16" s="14"/>
      <c r="B16" s="362" t="s">
        <v>298</v>
      </c>
      <c r="C16" s="377"/>
      <c r="D16" s="375"/>
      <c r="E16" s="375"/>
      <c r="F16" s="375"/>
      <c r="G16" s="375"/>
      <c r="H16" s="376"/>
      <c r="I16" s="510">
        <f t="shared" si="1"/>
        <v>0</v>
      </c>
      <c r="J16" s="793"/>
      <c r="K16" s="767"/>
      <c r="L16" s="767"/>
    </row>
    <row r="17" spans="1:12" x14ac:dyDescent="0.2">
      <c r="A17" s="15"/>
      <c r="B17" s="361" t="s">
        <v>299</v>
      </c>
      <c r="C17" s="377"/>
      <c r="D17" s="375"/>
      <c r="E17" s="375"/>
      <c r="F17" s="375"/>
      <c r="G17" s="375"/>
      <c r="H17" s="376"/>
      <c r="I17" s="510">
        <f t="shared" si="1"/>
        <v>0</v>
      </c>
      <c r="J17" s="793"/>
      <c r="K17" s="767"/>
      <c r="L17" s="767"/>
    </row>
    <row r="18" spans="1:12" x14ac:dyDescent="0.2">
      <c r="A18" s="15"/>
      <c r="B18" s="359" t="s">
        <v>300</v>
      </c>
      <c r="C18" s="377"/>
      <c r="D18" s="375"/>
      <c r="E18" s="375"/>
      <c r="F18" s="375"/>
      <c r="G18" s="375"/>
      <c r="H18" s="376"/>
      <c r="I18" s="510">
        <f t="shared" si="1"/>
        <v>0</v>
      </c>
      <c r="J18" s="793"/>
      <c r="K18" s="767"/>
      <c r="L18" s="767"/>
    </row>
    <row r="19" spans="1:12" x14ac:dyDescent="0.2">
      <c r="A19" s="14"/>
      <c r="B19" s="149"/>
      <c r="C19" s="20"/>
      <c r="D19" s="21"/>
      <c r="E19" s="21"/>
      <c r="F19" s="21"/>
      <c r="G19" s="21"/>
      <c r="H19" s="22"/>
      <c r="I19" s="510"/>
    </row>
    <row r="20" spans="1:12" ht="19" x14ac:dyDescent="0.2">
      <c r="A20" s="14"/>
      <c r="B20" s="360" t="s">
        <v>11</v>
      </c>
      <c r="C20" s="511">
        <f>SUM(C21:C38)</f>
        <v>0</v>
      </c>
      <c r="D20" s="512">
        <f>SUM(D21:D36)</f>
        <v>4.5</v>
      </c>
      <c r="E20" s="512">
        <f t="shared" ref="E20:H20" si="2">SUM(E21:E36)</f>
        <v>0</v>
      </c>
      <c r="F20" s="512">
        <f t="shared" si="2"/>
        <v>0</v>
      </c>
      <c r="G20" s="512">
        <f t="shared" si="2"/>
        <v>0</v>
      </c>
      <c r="H20" s="513">
        <f t="shared" si="2"/>
        <v>0</v>
      </c>
      <c r="I20" s="514">
        <f t="shared" ref="I20:I37" si="3">SUM(D20:H20)</f>
        <v>4.5</v>
      </c>
      <c r="J20" s="793"/>
      <c r="K20" s="767"/>
      <c r="L20" s="767"/>
    </row>
    <row r="21" spans="1:12" x14ac:dyDescent="0.2">
      <c r="A21" s="15"/>
      <c r="B21" s="361" t="s">
        <v>314</v>
      </c>
      <c r="C21" s="377"/>
      <c r="D21" s="378"/>
      <c r="E21" s="378"/>
      <c r="F21" s="378"/>
      <c r="G21" s="378"/>
      <c r="H21" s="379"/>
      <c r="I21" s="515">
        <f t="shared" si="3"/>
        <v>0</v>
      </c>
      <c r="J21" s="793"/>
      <c r="K21" s="767"/>
      <c r="L21" s="767"/>
    </row>
    <row r="22" spans="1:12" x14ac:dyDescent="0.2">
      <c r="A22" s="14"/>
      <c r="B22" s="361" t="s">
        <v>301</v>
      </c>
      <c r="C22" s="377"/>
      <c r="D22" s="375"/>
      <c r="E22" s="375"/>
      <c r="F22" s="375"/>
      <c r="G22" s="375"/>
      <c r="H22" s="376"/>
      <c r="I22" s="510">
        <f t="shared" si="3"/>
        <v>0</v>
      </c>
      <c r="J22" s="793"/>
      <c r="K22" s="767"/>
      <c r="L22" s="767"/>
    </row>
    <row r="23" spans="1:12" x14ac:dyDescent="0.2">
      <c r="A23" s="14"/>
      <c r="B23" s="361" t="s">
        <v>626</v>
      </c>
      <c r="C23" s="377"/>
      <c r="D23" s="375"/>
      <c r="E23" s="375"/>
      <c r="F23" s="375"/>
      <c r="G23" s="375"/>
      <c r="H23" s="376"/>
      <c r="I23" s="510">
        <f t="shared" si="3"/>
        <v>0</v>
      </c>
      <c r="J23" s="793"/>
      <c r="K23" s="767"/>
      <c r="L23" s="767"/>
    </row>
    <row r="24" spans="1:12" x14ac:dyDescent="0.2">
      <c r="A24" s="14"/>
      <c r="B24" s="361" t="s">
        <v>656</v>
      </c>
      <c r="C24" s="377"/>
      <c r="D24" s="375"/>
      <c r="E24" s="375"/>
      <c r="F24" s="375"/>
      <c r="G24" s="375"/>
      <c r="H24" s="376"/>
      <c r="I24" s="510">
        <f t="shared" ref="I24" si="4">SUM(D24:H24)</f>
        <v>0</v>
      </c>
      <c r="J24" s="793"/>
      <c r="K24" s="767"/>
      <c r="L24" s="767"/>
    </row>
    <row r="25" spans="1:12" x14ac:dyDescent="0.2">
      <c r="A25" s="14"/>
      <c r="B25" s="361" t="s">
        <v>302</v>
      </c>
      <c r="C25" s="377"/>
      <c r="D25" s="375"/>
      <c r="E25" s="375"/>
      <c r="F25" s="375"/>
      <c r="G25" s="375"/>
      <c r="H25" s="376"/>
      <c r="I25" s="510">
        <f t="shared" si="3"/>
        <v>0</v>
      </c>
      <c r="J25" s="793"/>
      <c r="K25" s="767"/>
      <c r="L25" s="767"/>
    </row>
    <row r="26" spans="1:12" x14ac:dyDescent="0.2">
      <c r="A26" s="14"/>
      <c r="B26" s="361" t="s">
        <v>303</v>
      </c>
      <c r="C26" s="377"/>
      <c r="D26" s="375"/>
      <c r="E26" s="375"/>
      <c r="F26" s="375"/>
      <c r="G26" s="375"/>
      <c r="H26" s="376"/>
      <c r="I26" s="510">
        <f t="shared" si="3"/>
        <v>0</v>
      </c>
      <c r="J26" s="793"/>
      <c r="K26" s="767"/>
      <c r="L26" s="767"/>
    </row>
    <row r="27" spans="1:12" x14ac:dyDescent="0.2">
      <c r="A27" s="14"/>
      <c r="B27" s="361" t="s">
        <v>304</v>
      </c>
      <c r="C27" s="377"/>
      <c r="D27" s="375"/>
      <c r="E27" s="375"/>
      <c r="F27" s="375"/>
      <c r="G27" s="375"/>
      <c r="H27" s="376"/>
      <c r="I27" s="510">
        <f t="shared" si="3"/>
        <v>0</v>
      </c>
      <c r="J27" s="793"/>
      <c r="K27" s="767"/>
      <c r="L27" s="767"/>
    </row>
    <row r="28" spans="1:12" x14ac:dyDescent="0.2">
      <c r="A28" s="14"/>
      <c r="B28" s="361" t="s">
        <v>305</v>
      </c>
      <c r="C28" s="377"/>
      <c r="D28" s="375">
        <v>0.5</v>
      </c>
      <c r="E28" s="375"/>
      <c r="F28" s="375"/>
      <c r="G28" s="375"/>
      <c r="H28" s="376"/>
      <c r="I28" s="510">
        <f t="shared" si="3"/>
        <v>0.5</v>
      </c>
      <c r="J28" s="793" t="s">
        <v>1347</v>
      </c>
      <c r="K28" s="767"/>
      <c r="L28" s="767"/>
    </row>
    <row r="29" spans="1:12" x14ac:dyDescent="0.2">
      <c r="A29" s="14"/>
      <c r="B29" s="361" t="s">
        <v>306</v>
      </c>
      <c r="C29" s="377"/>
      <c r="D29" s="375">
        <v>1</v>
      </c>
      <c r="E29" s="375"/>
      <c r="F29" s="375"/>
      <c r="G29" s="375"/>
      <c r="H29" s="376"/>
      <c r="I29" s="510">
        <f t="shared" si="3"/>
        <v>1</v>
      </c>
      <c r="J29" s="793" t="s">
        <v>1348</v>
      </c>
      <c r="K29" s="767"/>
      <c r="L29" s="767"/>
    </row>
    <row r="30" spans="1:12" x14ac:dyDescent="0.2">
      <c r="A30" s="14"/>
      <c r="B30" s="361" t="s">
        <v>307</v>
      </c>
      <c r="C30" s="377"/>
      <c r="D30" s="375"/>
      <c r="E30" s="375"/>
      <c r="F30" s="375"/>
      <c r="G30" s="375"/>
      <c r="H30" s="376"/>
      <c r="I30" s="510">
        <f t="shared" si="3"/>
        <v>0</v>
      </c>
      <c r="J30" s="793"/>
      <c r="K30" s="767"/>
      <c r="L30" s="767"/>
    </row>
    <row r="31" spans="1:12" x14ac:dyDescent="0.2">
      <c r="A31" s="14"/>
      <c r="B31" s="361" t="s">
        <v>308</v>
      </c>
      <c r="C31" s="377"/>
      <c r="D31" s="375"/>
      <c r="E31" s="375"/>
      <c r="F31" s="375"/>
      <c r="G31" s="375"/>
      <c r="H31" s="376"/>
      <c r="I31" s="510">
        <f t="shared" si="3"/>
        <v>0</v>
      </c>
      <c r="J31" s="793"/>
      <c r="K31" s="767"/>
      <c r="L31" s="767"/>
    </row>
    <row r="32" spans="1:12" x14ac:dyDescent="0.2">
      <c r="A32" s="14"/>
      <c r="B32" s="361" t="s">
        <v>309</v>
      </c>
      <c r="C32" s="377"/>
      <c r="D32" s="375"/>
      <c r="E32" s="375"/>
      <c r="F32" s="375"/>
      <c r="G32" s="375"/>
      <c r="H32" s="376"/>
      <c r="I32" s="510">
        <f t="shared" si="3"/>
        <v>0</v>
      </c>
      <c r="J32" s="793"/>
      <c r="K32" s="767"/>
      <c r="L32" s="767"/>
    </row>
    <row r="33" spans="1:12" x14ac:dyDescent="0.2">
      <c r="A33" s="14"/>
      <c r="B33" s="361" t="s">
        <v>310</v>
      </c>
      <c r="C33" s="377"/>
      <c r="D33" s="375"/>
      <c r="E33" s="375"/>
      <c r="F33" s="375"/>
      <c r="G33" s="375"/>
      <c r="H33" s="376"/>
      <c r="I33" s="510">
        <f t="shared" si="3"/>
        <v>0</v>
      </c>
      <c r="J33" s="793"/>
      <c r="K33" s="767"/>
      <c r="L33" s="767"/>
    </row>
    <row r="34" spans="1:12" ht="37.75" customHeight="1" x14ac:dyDescent="0.2">
      <c r="A34" s="14"/>
      <c r="B34" s="361" t="s">
        <v>311</v>
      </c>
      <c r="C34" s="377"/>
      <c r="D34" s="375">
        <v>3</v>
      </c>
      <c r="E34" s="375"/>
      <c r="F34" s="375"/>
      <c r="G34" s="375"/>
      <c r="H34" s="376"/>
      <c r="I34" s="510">
        <f t="shared" si="3"/>
        <v>3</v>
      </c>
      <c r="J34" s="793" t="s">
        <v>1301</v>
      </c>
      <c r="K34" s="767"/>
      <c r="L34" s="767"/>
    </row>
    <row r="35" spans="1:12" x14ac:dyDescent="0.2">
      <c r="A35" s="14"/>
      <c r="B35" s="361" t="s">
        <v>312</v>
      </c>
      <c r="C35" s="377"/>
      <c r="D35" s="375"/>
      <c r="E35" s="375"/>
      <c r="F35" s="375"/>
      <c r="G35" s="375"/>
      <c r="H35" s="376"/>
      <c r="I35" s="510">
        <f t="shared" si="3"/>
        <v>0</v>
      </c>
      <c r="J35" s="793"/>
      <c r="K35" s="767"/>
      <c r="L35" s="767"/>
    </row>
    <row r="36" spans="1:12" x14ac:dyDescent="0.2">
      <c r="A36" s="14"/>
      <c r="B36" s="361" t="s">
        <v>313</v>
      </c>
      <c r="C36" s="377"/>
      <c r="D36" s="375"/>
      <c r="E36" s="375"/>
      <c r="F36" s="375"/>
      <c r="G36" s="375"/>
      <c r="H36" s="376"/>
      <c r="I36" s="510">
        <f t="shared" si="3"/>
        <v>0</v>
      </c>
      <c r="J36" s="793"/>
      <c r="K36" s="767"/>
      <c r="L36" s="767"/>
    </row>
    <row r="37" spans="1:12" x14ac:dyDescent="0.2">
      <c r="A37" s="15"/>
      <c r="B37" s="359" t="s">
        <v>832</v>
      </c>
      <c r="C37" s="377"/>
      <c r="D37" s="378"/>
      <c r="E37" s="378"/>
      <c r="F37" s="378"/>
      <c r="G37" s="378"/>
      <c r="H37" s="379"/>
      <c r="I37" s="515">
        <f t="shared" si="3"/>
        <v>0</v>
      </c>
      <c r="J37" s="793"/>
      <c r="K37" s="767"/>
      <c r="L37" s="767"/>
    </row>
    <row r="38" spans="1:12" ht="16" thickBot="1" x14ac:dyDescent="0.25">
      <c r="A38" s="15"/>
      <c r="B38" s="154"/>
      <c r="C38" s="371"/>
      <c r="D38" s="372"/>
      <c r="E38" s="372"/>
      <c r="F38" s="372"/>
      <c r="G38" s="373"/>
      <c r="H38" s="373"/>
      <c r="I38" s="370"/>
    </row>
    <row r="40" spans="1:12" ht="16" thickBot="1" x14ac:dyDescent="0.25"/>
    <row r="41" spans="1:12" x14ac:dyDescent="0.2">
      <c r="A41" s="796" t="s">
        <v>14</v>
      </c>
      <c r="C41" s="796" t="s">
        <v>12</v>
      </c>
      <c r="D41" s="794" t="s">
        <v>13</v>
      </c>
      <c r="E41" s="794"/>
      <c r="F41" s="794"/>
      <c r="G41" s="794"/>
      <c r="H41" s="795"/>
    </row>
    <row r="42" spans="1:12" ht="16" thickBot="1" x14ac:dyDescent="0.25">
      <c r="A42" s="797"/>
      <c r="C42" s="797"/>
      <c r="D42" s="150">
        <f>+D11</f>
        <v>2023</v>
      </c>
      <c r="E42" s="151">
        <f t="shared" ref="E42:H42" si="5">+E11</f>
        <v>2024</v>
      </c>
      <c r="F42" s="151">
        <f t="shared" si="5"/>
        <v>2025</v>
      </c>
      <c r="G42" s="151">
        <f t="shared" si="5"/>
        <v>2026</v>
      </c>
      <c r="H42" s="152">
        <f t="shared" si="5"/>
        <v>2027</v>
      </c>
    </row>
    <row r="43" spans="1:12" ht="19" x14ac:dyDescent="0.25">
      <c r="A43" s="153"/>
      <c r="B43" s="16" t="s">
        <v>10</v>
      </c>
      <c r="C43" s="153"/>
      <c r="D43" s="516">
        <f>SUM(D44:D49)</f>
        <v>150000</v>
      </c>
      <c r="E43" s="516">
        <f t="shared" ref="E43:H43" si="6">SUM(E44:E49)</f>
        <v>150000</v>
      </c>
      <c r="F43" s="516">
        <f t="shared" si="6"/>
        <v>150000</v>
      </c>
      <c r="G43" s="516">
        <f t="shared" si="6"/>
        <v>150000</v>
      </c>
      <c r="H43" s="517">
        <f t="shared" si="6"/>
        <v>150000</v>
      </c>
    </row>
    <row r="44" spans="1:12" x14ac:dyDescent="0.2">
      <c r="A44" s="23">
        <v>150000</v>
      </c>
      <c r="B44" s="358" t="s">
        <v>295</v>
      </c>
      <c r="C44" s="23"/>
      <c r="D44" s="518">
        <f t="shared" ref="D44:D49" si="7">+$A44*D13</f>
        <v>150000</v>
      </c>
      <c r="E44" s="518">
        <f>+D44+$A44*E13</f>
        <v>150000</v>
      </c>
      <c r="F44" s="518">
        <f t="shared" ref="F44:G44" si="8">+E44+$A44*F13</f>
        <v>150000</v>
      </c>
      <c r="G44" s="518">
        <f t="shared" si="8"/>
        <v>150000</v>
      </c>
      <c r="H44" s="519">
        <f>+G44+$A44*H13</f>
        <v>150000</v>
      </c>
    </row>
    <row r="45" spans="1:12" x14ac:dyDescent="0.2">
      <c r="A45" s="24">
        <v>115000</v>
      </c>
      <c r="B45" s="361" t="s">
        <v>296</v>
      </c>
      <c r="C45" s="24"/>
      <c r="D45" s="518">
        <f t="shared" si="7"/>
        <v>0</v>
      </c>
      <c r="E45" s="518">
        <f t="shared" ref="E45:H45" si="9">+D45+$A45*E14</f>
        <v>0</v>
      </c>
      <c r="F45" s="518">
        <f t="shared" si="9"/>
        <v>0</v>
      </c>
      <c r="G45" s="518">
        <f t="shared" si="9"/>
        <v>0</v>
      </c>
      <c r="H45" s="519">
        <f t="shared" si="9"/>
        <v>0</v>
      </c>
    </row>
    <row r="46" spans="1:12" x14ac:dyDescent="0.2">
      <c r="A46" s="24">
        <v>75000</v>
      </c>
      <c r="B46" s="362" t="s">
        <v>297</v>
      </c>
      <c r="C46" s="24"/>
      <c r="D46" s="518">
        <f t="shared" si="7"/>
        <v>0</v>
      </c>
      <c r="E46" s="518">
        <f t="shared" ref="E46:H46" si="10">+D46+$A46*E15</f>
        <v>0</v>
      </c>
      <c r="F46" s="518">
        <f t="shared" si="10"/>
        <v>0</v>
      </c>
      <c r="G46" s="518">
        <f t="shared" si="10"/>
        <v>0</v>
      </c>
      <c r="H46" s="519">
        <f t="shared" si="10"/>
        <v>0</v>
      </c>
    </row>
    <row r="47" spans="1:12" x14ac:dyDescent="0.2">
      <c r="A47" s="24">
        <v>60000</v>
      </c>
      <c r="B47" s="362" t="s">
        <v>298</v>
      </c>
      <c r="C47" s="24"/>
      <c r="D47" s="518">
        <f t="shared" si="7"/>
        <v>0</v>
      </c>
      <c r="E47" s="518">
        <f t="shared" ref="E47:H47" si="11">+D47+$A47*E16</f>
        <v>0</v>
      </c>
      <c r="F47" s="518">
        <f t="shared" si="11"/>
        <v>0</v>
      </c>
      <c r="G47" s="518">
        <f t="shared" si="11"/>
        <v>0</v>
      </c>
      <c r="H47" s="519">
        <f t="shared" si="11"/>
        <v>0</v>
      </c>
    </row>
    <row r="48" spans="1:12" x14ac:dyDescent="0.2">
      <c r="A48" s="24">
        <v>53000</v>
      </c>
      <c r="B48" s="361" t="s">
        <v>299</v>
      </c>
      <c r="C48" s="24"/>
      <c r="D48" s="518">
        <f t="shared" si="7"/>
        <v>0</v>
      </c>
      <c r="E48" s="518">
        <f t="shared" ref="E48:H48" si="12">+D48+$A48*E17</f>
        <v>0</v>
      </c>
      <c r="F48" s="518">
        <f t="shared" si="12"/>
        <v>0</v>
      </c>
      <c r="G48" s="518">
        <f t="shared" si="12"/>
        <v>0</v>
      </c>
      <c r="H48" s="519">
        <f t="shared" si="12"/>
        <v>0</v>
      </c>
    </row>
    <row r="49" spans="1:8" x14ac:dyDescent="0.2">
      <c r="A49" s="24"/>
      <c r="B49" s="374" t="s">
        <v>300</v>
      </c>
      <c r="C49" s="336"/>
      <c r="D49" s="518">
        <f t="shared" si="7"/>
        <v>0</v>
      </c>
      <c r="E49" s="518">
        <f t="shared" ref="E49:G49" si="13">+D49+$A49*E18</f>
        <v>0</v>
      </c>
      <c r="F49" s="518">
        <f t="shared" si="13"/>
        <v>0</v>
      </c>
      <c r="G49" s="518">
        <f t="shared" si="13"/>
        <v>0</v>
      </c>
      <c r="H49" s="519">
        <f>+G49+$A49*H18</f>
        <v>0</v>
      </c>
    </row>
    <row r="50" spans="1:8" x14ac:dyDescent="0.2">
      <c r="A50" s="363"/>
      <c r="B50" s="364"/>
      <c r="C50" s="25"/>
      <c r="D50" s="520"/>
      <c r="E50" s="520"/>
      <c r="F50" s="520"/>
      <c r="G50" s="520"/>
      <c r="H50" s="521"/>
    </row>
    <row r="51" spans="1:8" ht="19" x14ac:dyDescent="0.2">
      <c r="A51" s="26"/>
      <c r="B51" s="360" t="s">
        <v>11</v>
      </c>
      <c r="C51" s="26"/>
      <c r="D51" s="522">
        <f>SUM(D52:D69)</f>
        <v>277000</v>
      </c>
      <c r="E51" s="522">
        <f t="shared" ref="E51:H51" si="14">SUM(E52:E69)</f>
        <v>277000</v>
      </c>
      <c r="F51" s="522">
        <f t="shared" si="14"/>
        <v>277000</v>
      </c>
      <c r="G51" s="522">
        <f t="shared" si="14"/>
        <v>277000</v>
      </c>
      <c r="H51" s="523">
        <f t="shared" si="14"/>
        <v>277000</v>
      </c>
    </row>
    <row r="52" spans="1:8" x14ac:dyDescent="0.2">
      <c r="A52" s="24">
        <v>80000</v>
      </c>
      <c r="B52" s="361" t="str">
        <f t="shared" ref="B52:B68" si="15">B21</f>
        <v>CADRE INFIRMIER</v>
      </c>
      <c r="C52" s="24"/>
      <c r="D52" s="524">
        <f>+$A52*D21</f>
        <v>0</v>
      </c>
      <c r="E52" s="524">
        <f t="shared" ref="E52:H52" si="16">+D52+$A52*E21</f>
        <v>0</v>
      </c>
      <c r="F52" s="524">
        <f t="shared" si="16"/>
        <v>0</v>
      </c>
      <c r="G52" s="524">
        <f t="shared" si="16"/>
        <v>0</v>
      </c>
      <c r="H52" s="525">
        <f t="shared" si="16"/>
        <v>0</v>
      </c>
    </row>
    <row r="53" spans="1:8" x14ac:dyDescent="0.2">
      <c r="A53" s="24">
        <v>77000</v>
      </c>
      <c r="B53" s="361" t="str">
        <f t="shared" si="15"/>
        <v>SAGE FEMME</v>
      </c>
      <c r="C53" s="24"/>
      <c r="D53" s="518">
        <f>+$A53*D22</f>
        <v>0</v>
      </c>
      <c r="E53" s="518">
        <f t="shared" ref="E53:H53" si="17">+D53+$A53*E22</f>
        <v>0</v>
      </c>
      <c r="F53" s="518">
        <f t="shared" si="17"/>
        <v>0</v>
      </c>
      <c r="G53" s="518">
        <f t="shared" si="17"/>
        <v>0</v>
      </c>
      <c r="H53" s="519">
        <f t="shared" si="17"/>
        <v>0</v>
      </c>
    </row>
    <row r="54" spans="1:8" x14ac:dyDescent="0.2">
      <c r="A54" s="24">
        <v>60000</v>
      </c>
      <c r="B54" s="361" t="str">
        <f t="shared" si="15"/>
        <v>IDE</v>
      </c>
      <c r="C54" s="24"/>
      <c r="D54" s="518">
        <f>+$A54*D23</f>
        <v>0</v>
      </c>
      <c r="E54" s="518">
        <f t="shared" ref="E54:H54" si="18">+D54+$A54*E23</f>
        <v>0</v>
      </c>
      <c r="F54" s="518">
        <f t="shared" si="18"/>
        <v>0</v>
      </c>
      <c r="G54" s="518">
        <f t="shared" si="18"/>
        <v>0</v>
      </c>
      <c r="H54" s="519">
        <f t="shared" si="18"/>
        <v>0</v>
      </c>
    </row>
    <row r="55" spans="1:8" x14ac:dyDescent="0.2">
      <c r="A55" s="24">
        <v>67000</v>
      </c>
      <c r="B55" s="361" t="str">
        <f t="shared" si="15"/>
        <v>PUER</v>
      </c>
      <c r="C55" s="24"/>
      <c r="D55" s="518">
        <f t="shared" ref="D55" si="19">+$A55*D25</f>
        <v>0</v>
      </c>
      <c r="E55" s="518">
        <f t="shared" ref="E55" si="20">+D55+$A55*E25</f>
        <v>0</v>
      </c>
      <c r="F55" s="518">
        <f t="shared" ref="F55" si="21">+E55+$A55*F25</f>
        <v>0</v>
      </c>
      <c r="G55" s="518">
        <f t="shared" ref="G55" si="22">+F55+$A55*G25</f>
        <v>0</v>
      </c>
      <c r="H55" s="519">
        <f t="shared" ref="H55" si="23">+G55+$A55*H25</f>
        <v>0</v>
      </c>
    </row>
    <row r="56" spans="1:8" x14ac:dyDescent="0.2">
      <c r="A56" s="24">
        <v>78000</v>
      </c>
      <c r="B56" s="361" t="str">
        <f t="shared" si="15"/>
        <v>IADE</v>
      </c>
      <c r="C56" s="24"/>
      <c r="D56" s="518">
        <f t="shared" ref="D56:D68" si="24">+$A56*D25</f>
        <v>0</v>
      </c>
      <c r="E56" s="518">
        <f t="shared" ref="E56:H56" si="25">+D56+$A56*E25</f>
        <v>0</v>
      </c>
      <c r="F56" s="518">
        <f t="shared" si="25"/>
        <v>0</v>
      </c>
      <c r="G56" s="518">
        <f t="shared" si="25"/>
        <v>0</v>
      </c>
      <c r="H56" s="519">
        <f t="shared" si="25"/>
        <v>0</v>
      </c>
    </row>
    <row r="57" spans="1:8" x14ac:dyDescent="0.2">
      <c r="A57" s="24">
        <v>75000</v>
      </c>
      <c r="B57" s="361" t="str">
        <f t="shared" si="15"/>
        <v>IBODE</v>
      </c>
      <c r="C57" s="24"/>
      <c r="D57" s="518">
        <f t="shared" si="24"/>
        <v>0</v>
      </c>
      <c r="E57" s="518">
        <f t="shared" ref="E57:H57" si="26">+D57+$A57*E26</f>
        <v>0</v>
      </c>
      <c r="F57" s="518">
        <f t="shared" si="26"/>
        <v>0</v>
      </c>
      <c r="G57" s="518">
        <f t="shared" si="26"/>
        <v>0</v>
      </c>
      <c r="H57" s="519">
        <f t="shared" si="26"/>
        <v>0</v>
      </c>
    </row>
    <row r="58" spans="1:8" x14ac:dyDescent="0.2">
      <c r="A58" s="24">
        <v>52000</v>
      </c>
      <c r="B58" s="361" t="str">
        <f t="shared" si="15"/>
        <v>AS - AUX PUER</v>
      </c>
      <c r="C58" s="24"/>
      <c r="D58" s="518">
        <f t="shared" si="24"/>
        <v>0</v>
      </c>
      <c r="E58" s="518">
        <f t="shared" ref="E58:H58" si="27">+D58+$A58*E27</f>
        <v>0</v>
      </c>
      <c r="F58" s="518">
        <f t="shared" si="27"/>
        <v>0</v>
      </c>
      <c r="G58" s="518">
        <f t="shared" si="27"/>
        <v>0</v>
      </c>
      <c r="H58" s="519">
        <f t="shared" si="27"/>
        <v>0</v>
      </c>
    </row>
    <row r="59" spans="1:8" x14ac:dyDescent="0.2">
      <c r="A59" s="24">
        <v>46000</v>
      </c>
      <c r="B59" s="361" t="str">
        <f t="shared" si="15"/>
        <v>ASH</v>
      </c>
      <c r="C59" s="24"/>
      <c r="D59" s="518">
        <f t="shared" si="24"/>
        <v>23000</v>
      </c>
      <c r="E59" s="518">
        <f t="shared" ref="E59:H59" si="28">+D59+$A59*E28</f>
        <v>23000</v>
      </c>
      <c r="F59" s="518">
        <f t="shared" si="28"/>
        <v>23000</v>
      </c>
      <c r="G59" s="518">
        <f t="shared" si="28"/>
        <v>23000</v>
      </c>
      <c r="H59" s="519">
        <f t="shared" si="28"/>
        <v>23000</v>
      </c>
    </row>
    <row r="60" spans="1:8" x14ac:dyDescent="0.2">
      <c r="A60" s="24">
        <v>53000</v>
      </c>
      <c r="B60" s="361" t="str">
        <f t="shared" si="15"/>
        <v>SM</v>
      </c>
      <c r="C60" s="24"/>
      <c r="D60" s="518">
        <f t="shared" si="24"/>
        <v>53000</v>
      </c>
      <c r="E60" s="518">
        <f t="shared" ref="E60:H60" si="29">+D60+$A60*E29</f>
        <v>53000</v>
      </c>
      <c r="F60" s="518">
        <f t="shared" si="29"/>
        <v>53000</v>
      </c>
      <c r="G60" s="518">
        <f t="shared" si="29"/>
        <v>53000</v>
      </c>
      <c r="H60" s="519">
        <f t="shared" si="29"/>
        <v>53000</v>
      </c>
    </row>
    <row r="61" spans="1:8" x14ac:dyDescent="0.2">
      <c r="A61" s="24">
        <v>57000</v>
      </c>
      <c r="B61" s="361" t="str">
        <f t="shared" si="15"/>
        <v>PSYCHOLOGUE</v>
      </c>
      <c r="C61" s="24"/>
      <c r="D61" s="518">
        <f t="shared" si="24"/>
        <v>0</v>
      </c>
      <c r="E61" s="518">
        <f t="shared" ref="E61:H61" si="30">+D61+$A61*E30</f>
        <v>0</v>
      </c>
      <c r="F61" s="518">
        <f t="shared" si="30"/>
        <v>0</v>
      </c>
      <c r="G61" s="518">
        <f t="shared" si="30"/>
        <v>0</v>
      </c>
      <c r="H61" s="519">
        <f t="shared" si="30"/>
        <v>0</v>
      </c>
    </row>
    <row r="62" spans="1:8" x14ac:dyDescent="0.2">
      <c r="A62" s="24">
        <v>52000</v>
      </c>
      <c r="B62" s="361" t="str">
        <f t="shared" si="15"/>
        <v>DIETETICIEN</v>
      </c>
      <c r="C62" s="24"/>
      <c r="D62" s="518">
        <f t="shared" si="24"/>
        <v>0</v>
      </c>
      <c r="E62" s="518">
        <f t="shared" ref="E62:H62" si="31">+D62+$A62*E31</f>
        <v>0</v>
      </c>
      <c r="F62" s="518">
        <f t="shared" si="31"/>
        <v>0</v>
      </c>
      <c r="G62" s="518">
        <f t="shared" si="31"/>
        <v>0</v>
      </c>
      <c r="H62" s="519">
        <f t="shared" si="31"/>
        <v>0</v>
      </c>
    </row>
    <row r="63" spans="1:8" x14ac:dyDescent="0.2">
      <c r="A63" s="24">
        <v>53000</v>
      </c>
      <c r="B63" s="361" t="str">
        <f t="shared" si="15"/>
        <v>KINE</v>
      </c>
      <c r="C63" s="24"/>
      <c r="D63" s="518">
        <f t="shared" si="24"/>
        <v>0</v>
      </c>
      <c r="E63" s="518">
        <f t="shared" ref="E63:H63" si="32">+D63+$A63*E32</f>
        <v>0</v>
      </c>
      <c r="F63" s="518">
        <f t="shared" si="32"/>
        <v>0</v>
      </c>
      <c r="G63" s="518">
        <f t="shared" si="32"/>
        <v>0</v>
      </c>
      <c r="H63" s="519">
        <f t="shared" si="32"/>
        <v>0</v>
      </c>
    </row>
    <row r="64" spans="1:8" x14ac:dyDescent="0.2">
      <c r="A64" s="24">
        <v>60000</v>
      </c>
      <c r="B64" s="361" t="str">
        <f t="shared" si="15"/>
        <v>MANIP RADIO</v>
      </c>
      <c r="C64" s="24"/>
      <c r="D64" s="518">
        <f t="shared" si="24"/>
        <v>0</v>
      </c>
      <c r="E64" s="518">
        <f t="shared" ref="E64:H64" si="33">+D64+$A64*E33</f>
        <v>0</v>
      </c>
      <c r="F64" s="518">
        <f t="shared" si="33"/>
        <v>0</v>
      </c>
      <c r="G64" s="518">
        <f t="shared" si="33"/>
        <v>0</v>
      </c>
      <c r="H64" s="519">
        <f t="shared" si="33"/>
        <v>0</v>
      </c>
    </row>
    <row r="65" spans="1:8" x14ac:dyDescent="0.2">
      <c r="A65" s="24">
        <v>67000</v>
      </c>
      <c r="B65" s="361" t="str">
        <f t="shared" si="15"/>
        <v>TECH LABO</v>
      </c>
      <c r="C65" s="24"/>
      <c r="D65" s="518">
        <f t="shared" si="24"/>
        <v>201000</v>
      </c>
      <c r="E65" s="518">
        <f t="shared" ref="E65:H65" si="34">+D65+$A65*E34</f>
        <v>201000</v>
      </c>
      <c r="F65" s="518">
        <f t="shared" si="34"/>
        <v>201000</v>
      </c>
      <c r="G65" s="518">
        <f t="shared" si="34"/>
        <v>201000</v>
      </c>
      <c r="H65" s="519">
        <f t="shared" si="34"/>
        <v>201000</v>
      </c>
    </row>
    <row r="66" spans="1:8" x14ac:dyDescent="0.2">
      <c r="A66" s="24">
        <v>54000</v>
      </c>
      <c r="B66" s="361" t="str">
        <f t="shared" si="15"/>
        <v>ASE</v>
      </c>
      <c r="C66" s="24"/>
      <c r="D66" s="518">
        <f t="shared" si="24"/>
        <v>0</v>
      </c>
      <c r="E66" s="518">
        <f t="shared" ref="E66:H66" si="35">+D66+$A66*E35</f>
        <v>0</v>
      </c>
      <c r="F66" s="518">
        <f t="shared" si="35"/>
        <v>0</v>
      </c>
      <c r="G66" s="518">
        <f t="shared" si="35"/>
        <v>0</v>
      </c>
      <c r="H66" s="519">
        <f t="shared" si="35"/>
        <v>0</v>
      </c>
    </row>
    <row r="67" spans="1:8" x14ac:dyDescent="0.2">
      <c r="A67" s="24">
        <v>47000</v>
      </c>
      <c r="B67" s="361" t="str">
        <f t="shared" si="15"/>
        <v>OUVRIER</v>
      </c>
      <c r="C67" s="24"/>
      <c r="D67" s="518">
        <f t="shared" si="24"/>
        <v>0</v>
      </c>
      <c r="E67" s="518">
        <f t="shared" ref="E67:H67" si="36">+D67+$A67*E36</f>
        <v>0</v>
      </c>
      <c r="F67" s="518">
        <f t="shared" si="36"/>
        <v>0</v>
      </c>
      <c r="G67" s="518">
        <f t="shared" si="36"/>
        <v>0</v>
      </c>
      <c r="H67" s="519">
        <f t="shared" si="36"/>
        <v>0</v>
      </c>
    </row>
    <row r="68" spans="1:8" x14ac:dyDescent="0.2">
      <c r="A68" s="24">
        <v>75000</v>
      </c>
      <c r="B68" s="374" t="str">
        <f t="shared" si="15"/>
        <v>Bio-informaticien</v>
      </c>
      <c r="C68" s="336"/>
      <c r="D68" s="524">
        <f t="shared" si="24"/>
        <v>0</v>
      </c>
      <c r="E68" s="524">
        <f t="shared" ref="E68:G68" si="37">+D68+$A68*E37</f>
        <v>0</v>
      </c>
      <c r="F68" s="524">
        <f t="shared" si="37"/>
        <v>0</v>
      </c>
      <c r="G68" s="524">
        <f t="shared" si="37"/>
        <v>0</v>
      </c>
      <c r="H68" s="525">
        <f>+G68+$A68*H37</f>
        <v>0</v>
      </c>
    </row>
    <row r="69" spans="1:8" ht="16" thickBot="1" x14ac:dyDescent="0.25">
      <c r="A69" s="365"/>
      <c r="B69" s="366"/>
      <c r="C69" s="367"/>
      <c r="D69" s="368"/>
      <c r="E69" s="368"/>
      <c r="F69" s="368"/>
      <c r="G69" s="368"/>
      <c r="H69" s="369"/>
    </row>
  </sheetData>
  <mergeCells count="34">
    <mergeCell ref="J24:L24"/>
    <mergeCell ref="J22:L22"/>
    <mergeCell ref="J23:L23"/>
    <mergeCell ref="J16:L16"/>
    <mergeCell ref="J17:L17"/>
    <mergeCell ref="J18:L18"/>
    <mergeCell ref="J20:L20"/>
    <mergeCell ref="J21:L21"/>
    <mergeCell ref="J11:L11"/>
    <mergeCell ref="J12:L12"/>
    <mergeCell ref="J13:L13"/>
    <mergeCell ref="J14:L14"/>
    <mergeCell ref="J15:L15"/>
    <mergeCell ref="D10:H10"/>
    <mergeCell ref="C41:C42"/>
    <mergeCell ref="D41:H41"/>
    <mergeCell ref="A41:A42"/>
    <mergeCell ref="C10:C11"/>
    <mergeCell ref="J25:L25"/>
    <mergeCell ref="J36:L36"/>
    <mergeCell ref="J37:L37"/>
    <mergeCell ref="D2:L2"/>
    <mergeCell ref="J31:L31"/>
    <mergeCell ref="J32:L32"/>
    <mergeCell ref="J33:L33"/>
    <mergeCell ref="J34:L34"/>
    <mergeCell ref="J35:L35"/>
    <mergeCell ref="J26:L26"/>
    <mergeCell ref="J27:L27"/>
    <mergeCell ref="J28:L28"/>
    <mergeCell ref="J29:L29"/>
    <mergeCell ref="J30:L30"/>
    <mergeCell ref="A7:E7"/>
    <mergeCell ref="F7:H7"/>
  </mergeCells>
  <printOptions horizontalCentered="1" verticalCentered="1"/>
  <pageMargins left="0.70866141732283472" right="0.70866141732283472" top="0.74803149606299213" bottom="0.74803149606299213" header="0.31496062992125984" footer="0.31496062992125984"/>
  <pageSetup paperSize="9" scale="68" orientation="portrait" horizontalDpi="1200" verticalDpi="1200" r:id="rId1"/>
  <headerFooter>
    <oddHeader>&amp;C&amp;"-,Gras"&amp;20&amp;K0070C0Données RH</oddHeader>
    <oddFooter>&amp;LCHU REUNION&amp;C&amp;A
&amp;P/&amp;N&amp;R&amp;F</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theme="0" tint="-0.14999847407452621"/>
  </sheetPr>
  <dimension ref="A1"/>
  <sheetViews>
    <sheetView workbookViewId="0"/>
  </sheetViews>
  <sheetFormatPr baseColWidth="10" defaultRowHeight="15" x14ac:dyDescent="0.2"/>
  <sheetData>
    <row r="1" spans="1:1" x14ac:dyDescent="0.2">
      <c r="A1" t="s">
        <v>718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theme="0" tint="-0.14999847407452621"/>
  </sheetPr>
  <dimension ref="A1"/>
  <sheetViews>
    <sheetView workbookViewId="0"/>
  </sheetViews>
  <sheetFormatPr baseColWidth="10" defaultRowHeight="15" x14ac:dyDescent="0.2"/>
  <sheetData>
    <row r="1" spans="1:1" x14ac:dyDescent="0.2">
      <c r="A1" t="s">
        <v>1214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7">
    <tabColor theme="0" tint="-0.14999847407452621"/>
    <pageSetUpPr fitToPage="1"/>
  </sheetPr>
  <dimension ref="A1:N47"/>
  <sheetViews>
    <sheetView topLeftCell="A8" workbookViewId="0">
      <selection activeCell="M32" sqref="M32"/>
    </sheetView>
  </sheetViews>
  <sheetFormatPr baseColWidth="10" defaultRowHeight="15.75" customHeight="1" x14ac:dyDescent="0.2"/>
  <cols>
    <col min="1" max="1" width="40.83203125" customWidth="1"/>
    <col min="2" max="6" width="14.5" customWidth="1"/>
  </cols>
  <sheetData>
    <row r="1" spans="1:14" ht="15" x14ac:dyDescent="0.2">
      <c r="G1" s="68"/>
    </row>
    <row r="2" spans="1:14" ht="33.75" customHeight="1" x14ac:dyDescent="0.2">
      <c r="D2" s="763" t="str">
        <f>+"2.4 Dépenses Med et MDT"</f>
        <v>2.4 Dépenses Med et MDT</v>
      </c>
      <c r="E2" s="763"/>
      <c r="F2" s="763"/>
      <c r="G2" s="763"/>
      <c r="H2" s="763"/>
      <c r="I2" s="763"/>
      <c r="L2" s="119"/>
    </row>
    <row r="3" spans="1:14" ht="15" x14ac:dyDescent="0.2">
      <c r="G3" s="68"/>
    </row>
    <row r="4" spans="1:14" ht="15" x14ac:dyDescent="0.2">
      <c r="G4" s="68"/>
    </row>
    <row r="5" spans="1:14" ht="18.75" customHeight="1" x14ac:dyDescent="0.25">
      <c r="D5" s="138"/>
      <c r="E5" s="285" t="s">
        <v>245</v>
      </c>
      <c r="F5" s="303" t="str">
        <f>IF(+'2- SYNTHESE FIN'!D5=0,"")</f>
        <v/>
      </c>
      <c r="G5" s="119"/>
      <c r="H5" s="155" t="s">
        <v>524</v>
      </c>
      <c r="I5" s="276" t="str">
        <f>+Cod_projet</f>
        <v>P_21_00x</v>
      </c>
    </row>
    <row r="6" spans="1:14" ht="15" x14ac:dyDescent="0.2"/>
    <row r="7" spans="1:14" ht="33.75" customHeight="1" x14ac:dyDescent="0.2">
      <c r="A7" s="770" t="s">
        <v>242</v>
      </c>
      <c r="B7" s="770"/>
      <c r="C7" s="770"/>
      <c r="D7" s="770"/>
      <c r="E7" s="770"/>
      <c r="F7" s="771" t="str">
        <f>+'1- Avant Projet'!G6</f>
        <v>Biologie moléculaire - Plateforme NGS : réinternalisation des examens</v>
      </c>
      <c r="G7" s="771"/>
      <c r="H7" s="771"/>
      <c r="I7" s="308"/>
      <c r="J7" s="119"/>
      <c r="M7" s="9"/>
      <c r="N7" s="9"/>
    </row>
    <row r="8" spans="1:14" ht="15" x14ac:dyDescent="0.2"/>
    <row r="9" spans="1:14" ht="33.75" customHeight="1" x14ac:dyDescent="0.2">
      <c r="A9" s="809" t="s">
        <v>316</v>
      </c>
      <c r="B9" s="809"/>
      <c r="C9" s="809"/>
      <c r="D9" s="809"/>
      <c r="E9" s="809"/>
      <c r="F9" s="809"/>
      <c r="G9" s="469"/>
      <c r="H9" s="469"/>
      <c r="I9" s="469"/>
      <c r="J9" s="119"/>
    </row>
    <row r="10" spans="1:14" ht="8.25" customHeight="1" x14ac:dyDescent="0.2"/>
    <row r="11" spans="1:14" ht="15.75" customHeight="1" x14ac:dyDescent="0.2">
      <c r="A11" s="156" t="s">
        <v>687</v>
      </c>
      <c r="B11" s="427" t="s">
        <v>693</v>
      </c>
      <c r="C11" s="219"/>
      <c r="D11" s="219"/>
      <c r="E11" s="219"/>
    </row>
    <row r="12" spans="1:14" ht="15.75" customHeight="1" x14ac:dyDescent="0.2">
      <c r="A12" s="156" t="s">
        <v>688</v>
      </c>
      <c r="B12" s="427" t="s">
        <v>694</v>
      </c>
      <c r="C12" s="219"/>
      <c r="D12" s="219"/>
      <c r="E12" s="219"/>
    </row>
    <row r="13" spans="1:14" ht="15.75" customHeight="1" x14ac:dyDescent="0.2">
      <c r="A13" s="156" t="s">
        <v>689</v>
      </c>
      <c r="B13" s="427" t="s">
        <v>692</v>
      </c>
      <c r="C13" s="219"/>
      <c r="D13" s="219"/>
      <c r="E13" s="219"/>
    </row>
    <row r="14" spans="1:14" ht="15.75" customHeight="1" x14ac:dyDescent="0.2">
      <c r="A14" s="156" t="s">
        <v>690</v>
      </c>
      <c r="B14" s="428" t="s">
        <v>691</v>
      </c>
      <c r="C14" s="219"/>
      <c r="D14" s="219"/>
      <c r="E14" s="219"/>
    </row>
    <row r="15" spans="1:14" ht="15.75" customHeight="1" thickBot="1" x14ac:dyDescent="0.25"/>
    <row r="16" spans="1:14" ht="15.75" customHeight="1" thickBot="1" x14ac:dyDescent="0.25">
      <c r="A16" s="166"/>
      <c r="B16" s="449">
        <f>An_1</f>
        <v>2023</v>
      </c>
      <c r="C16" s="450">
        <f>+B16+1</f>
        <v>2024</v>
      </c>
      <c r="D16" s="450">
        <f t="shared" ref="D16:F16" si="0">+C16+1</f>
        <v>2025</v>
      </c>
      <c r="E16" s="450">
        <f t="shared" si="0"/>
        <v>2026</v>
      </c>
      <c r="F16" s="451">
        <f t="shared" si="0"/>
        <v>2027</v>
      </c>
      <c r="G16" s="803" t="s">
        <v>699</v>
      </c>
      <c r="H16" s="803"/>
      <c r="I16" s="804"/>
      <c r="J16" s="163"/>
      <c r="K16" s="429"/>
    </row>
    <row r="17" spans="1:13" ht="15.75" customHeight="1" x14ac:dyDescent="0.2">
      <c r="A17" s="452" t="s">
        <v>695</v>
      </c>
      <c r="B17" s="453"/>
      <c r="C17" s="453"/>
      <c r="D17" s="453"/>
      <c r="E17" s="453"/>
      <c r="F17" s="454"/>
      <c r="G17" s="801"/>
      <c r="H17" s="801"/>
      <c r="I17" s="802"/>
      <c r="J17" s="163"/>
      <c r="K17" s="429"/>
    </row>
    <row r="18" spans="1:13" ht="15.75" customHeight="1" x14ac:dyDescent="0.2">
      <c r="A18" s="466"/>
      <c r="B18" s="468"/>
      <c r="C18" s="468"/>
      <c r="D18" s="468"/>
      <c r="E18" s="468"/>
      <c r="F18" s="467"/>
      <c r="G18" s="801"/>
      <c r="H18" s="801"/>
      <c r="I18" s="802"/>
      <c r="J18" s="163"/>
      <c r="K18" s="429"/>
    </row>
    <row r="19" spans="1:13" ht="15.75" customHeight="1" x14ac:dyDescent="0.2">
      <c r="A19" s="636" t="s">
        <v>1273</v>
      </c>
      <c r="B19" s="436">
        <f>'NGS Projet recap financier'!G8+'NGS Projet recap financier'!G9+'NGS Projet recap financier'!G15+'NGS Projet recap financier'!G16+'NGS Projet recap financier'!G24+'NGS Projet recap financier'!G25+'NGS Projet recap financier'!G31+'NGS Projet recap financier'!G32+'NGS Projet recap financier'!G38+'NGS Projet recap financier'!G39+'NGS Projet recap financier'!G47+'NGS Projet recap financier'!G48+'NGS Projet recap financier'!G54+'NGS Projet recap financier'!G58+'NGS Projet recap financier'!G63</f>
        <v>744714.10000000009</v>
      </c>
      <c r="C19" s="436">
        <f>B19</f>
        <v>744714.10000000009</v>
      </c>
      <c r="D19" s="436">
        <f>C19</f>
        <v>744714.10000000009</v>
      </c>
      <c r="E19" s="436">
        <f>D19</f>
        <v>744714.10000000009</v>
      </c>
      <c r="F19" s="456">
        <f>E19</f>
        <v>744714.10000000009</v>
      </c>
      <c r="G19" s="801"/>
      <c r="H19" s="801"/>
      <c r="I19" s="802"/>
      <c r="J19" s="163"/>
      <c r="K19" s="429"/>
    </row>
    <row r="20" spans="1:13" ht="28.25" customHeight="1" x14ac:dyDescent="0.2">
      <c r="A20" s="636" t="s">
        <v>205</v>
      </c>
      <c r="B20" s="437"/>
      <c r="C20" s="437"/>
      <c r="D20" s="437"/>
      <c r="E20" s="437"/>
      <c r="F20" s="437"/>
      <c r="G20" s="801" t="s">
        <v>1316</v>
      </c>
      <c r="H20" s="801"/>
      <c r="I20" s="802"/>
      <c r="K20" s="429"/>
    </row>
    <row r="21" spans="1:13" ht="15.75" customHeight="1" x14ac:dyDescent="0.2">
      <c r="A21" s="455" t="s">
        <v>1315</v>
      </c>
      <c r="B21" s="437">
        <v>17000</v>
      </c>
      <c r="C21" s="437">
        <v>17000</v>
      </c>
      <c r="D21" s="437">
        <v>17000</v>
      </c>
      <c r="E21" s="437">
        <v>17000</v>
      </c>
      <c r="F21" s="457">
        <v>17000</v>
      </c>
      <c r="G21" s="806"/>
      <c r="H21" s="806"/>
      <c r="I21" s="793"/>
      <c r="K21" s="429"/>
    </row>
    <row r="22" spans="1:13" ht="15.75" customHeight="1" x14ac:dyDescent="0.2">
      <c r="A22" s="455" t="s">
        <v>192</v>
      </c>
      <c r="B22" s="437"/>
      <c r="C22" s="437"/>
      <c r="D22" s="437"/>
      <c r="E22" s="437"/>
      <c r="F22" s="457"/>
      <c r="G22" s="806"/>
      <c r="H22" s="806"/>
      <c r="I22" s="793"/>
      <c r="K22" s="429"/>
    </row>
    <row r="23" spans="1:13" ht="15.75" customHeight="1" x14ac:dyDescent="0.2">
      <c r="A23" s="455" t="s">
        <v>696</v>
      </c>
      <c r="B23" s="437"/>
      <c r="C23" s="437"/>
      <c r="D23" s="437"/>
      <c r="E23" s="437"/>
      <c r="F23" s="457"/>
      <c r="G23" s="806"/>
      <c r="H23" s="806"/>
      <c r="I23" s="793"/>
      <c r="K23" s="429"/>
    </row>
    <row r="24" spans="1:13" ht="15.75" customHeight="1" x14ac:dyDescent="0.2">
      <c r="A24" s="455" t="s">
        <v>194</v>
      </c>
      <c r="B24" s="437"/>
      <c r="C24" s="437"/>
      <c r="D24" s="437"/>
      <c r="E24" s="437"/>
      <c r="F24" s="457"/>
      <c r="G24" s="806"/>
      <c r="H24" s="806"/>
      <c r="I24" s="793"/>
      <c r="K24" s="429"/>
    </row>
    <row r="25" spans="1:13" ht="15.75" customHeight="1" x14ac:dyDescent="0.2">
      <c r="A25" s="455" t="s">
        <v>204</v>
      </c>
      <c r="B25" s="437"/>
      <c r="C25" s="437"/>
      <c r="D25" s="437"/>
      <c r="E25" s="437"/>
      <c r="F25" s="457"/>
      <c r="G25" s="806"/>
      <c r="H25" s="806"/>
      <c r="I25" s="793"/>
      <c r="K25" s="429"/>
    </row>
    <row r="26" spans="1:13" ht="15.75" customHeight="1" x14ac:dyDescent="0.2">
      <c r="A26" s="636" t="s">
        <v>697</v>
      </c>
      <c r="B26" s="437">
        <v>30000</v>
      </c>
      <c r="C26" s="437">
        <v>30000</v>
      </c>
      <c r="D26" s="437">
        <v>30000</v>
      </c>
      <c r="E26" s="437">
        <v>30000</v>
      </c>
      <c r="F26" s="457">
        <v>30000</v>
      </c>
      <c r="G26" s="806" t="s">
        <v>1220</v>
      </c>
      <c r="H26" s="806"/>
      <c r="I26" s="793"/>
      <c r="K26" s="429"/>
    </row>
    <row r="27" spans="1:13" ht="15.75" customHeight="1" x14ac:dyDescent="0.2">
      <c r="A27" s="455" t="s">
        <v>196</v>
      </c>
      <c r="B27" s="437"/>
      <c r="C27" s="437"/>
      <c r="D27" s="437"/>
      <c r="E27" s="437"/>
      <c r="F27" s="457"/>
      <c r="G27" s="806"/>
      <c r="H27" s="806"/>
      <c r="I27" s="793"/>
      <c r="K27" s="429"/>
    </row>
    <row r="28" spans="1:13" ht="15.75" customHeight="1" x14ac:dyDescent="0.2">
      <c r="A28" s="455" t="s">
        <v>189</v>
      </c>
      <c r="B28" s="437"/>
      <c r="C28" s="437"/>
      <c r="D28" s="437"/>
      <c r="E28" s="437"/>
      <c r="F28" s="437"/>
      <c r="G28" s="806"/>
      <c r="H28" s="806"/>
      <c r="I28" s="793"/>
      <c r="K28" s="429"/>
      <c r="M28">
        <v>182700</v>
      </c>
    </row>
    <row r="29" spans="1:13" ht="15.75" customHeight="1" thickBot="1" x14ac:dyDescent="0.25">
      <c r="A29" s="167" t="s">
        <v>317</v>
      </c>
      <c r="B29" s="169">
        <f>SUM(B19:B28)</f>
        <v>791714.10000000009</v>
      </c>
      <c r="C29" s="169">
        <f>SUM(C19:C28)</f>
        <v>791714.10000000009</v>
      </c>
      <c r="D29" s="169">
        <f>SUM(D19:D28)</f>
        <v>791714.10000000009</v>
      </c>
      <c r="E29" s="169">
        <f>SUM(E19:E28)</f>
        <v>791714.10000000009</v>
      </c>
      <c r="F29" s="170">
        <f>SUM(F19:F28)</f>
        <v>791714.10000000009</v>
      </c>
      <c r="K29" s="429"/>
      <c r="M29">
        <v>61246</v>
      </c>
    </row>
    <row r="30" spans="1:13" ht="15.75" customHeight="1" x14ac:dyDescent="0.2">
      <c r="K30" s="429"/>
      <c r="M30">
        <v>137700</v>
      </c>
    </row>
    <row r="31" spans="1:13" ht="15.75" customHeight="1" x14ac:dyDescent="0.2">
      <c r="K31" s="429"/>
      <c r="M31">
        <v>174735</v>
      </c>
    </row>
    <row r="32" spans="1:13" ht="15.75" customHeight="1" x14ac:dyDescent="0.2">
      <c r="M32">
        <v>60552</v>
      </c>
    </row>
    <row r="33" spans="1:13" ht="33" x14ac:dyDescent="0.2">
      <c r="A33" s="809" t="s">
        <v>349</v>
      </c>
      <c r="B33" s="809"/>
      <c r="C33" s="809"/>
      <c r="D33" s="809"/>
      <c r="E33" s="809"/>
      <c r="F33" s="809"/>
      <c r="G33" s="458"/>
      <c r="H33" s="458"/>
      <c r="I33" s="458"/>
      <c r="M33">
        <v>130500</v>
      </c>
    </row>
    <row r="34" spans="1:13" ht="21" customHeight="1" x14ac:dyDescent="0.2">
      <c r="M34">
        <f>SUM(M28:M33)</f>
        <v>747433</v>
      </c>
    </row>
    <row r="35" spans="1:13" ht="15.75" customHeight="1" x14ac:dyDescent="0.2">
      <c r="A35" s="156" t="s">
        <v>687</v>
      </c>
      <c r="B35" s="427" t="s">
        <v>693</v>
      </c>
      <c r="C35" s="219"/>
      <c r="D35" s="219"/>
      <c r="E35" s="219"/>
    </row>
    <row r="36" spans="1:13" ht="15.75" customHeight="1" x14ac:dyDescent="0.2">
      <c r="A36" s="156" t="s">
        <v>688</v>
      </c>
      <c r="B36" s="427" t="s">
        <v>694</v>
      </c>
      <c r="C36" s="219"/>
      <c r="D36" s="219"/>
      <c r="E36" s="219"/>
    </row>
    <row r="37" spans="1:13" ht="15.75" customHeight="1" x14ac:dyDescent="0.2">
      <c r="A37" s="156" t="s">
        <v>689</v>
      </c>
      <c r="B37" s="427" t="s">
        <v>692</v>
      </c>
      <c r="C37" s="219"/>
      <c r="D37" s="219"/>
      <c r="E37" s="219"/>
    </row>
    <row r="38" spans="1:13" ht="15.75" customHeight="1" x14ac:dyDescent="0.2">
      <c r="A38" s="156" t="s">
        <v>690</v>
      </c>
      <c r="B38" s="428" t="s">
        <v>691</v>
      </c>
      <c r="C38" s="219"/>
      <c r="D38" s="219"/>
      <c r="E38" s="219"/>
    </row>
    <row r="40" spans="1:13" ht="15.75" customHeight="1" thickBot="1" x14ac:dyDescent="0.25"/>
    <row r="41" spans="1:13" ht="15.75" customHeight="1" thickBot="1" x14ac:dyDescent="0.25">
      <c r="A41" s="448"/>
      <c r="B41" s="5">
        <f>+An_1</f>
        <v>2023</v>
      </c>
      <c r="C41" s="193">
        <f>+B41+1</f>
        <v>2024</v>
      </c>
      <c r="D41" s="193">
        <f t="shared" ref="D41:F41" si="1">+C41+1</f>
        <v>2025</v>
      </c>
      <c r="E41" s="193">
        <f t="shared" si="1"/>
        <v>2026</v>
      </c>
      <c r="F41" s="8">
        <f t="shared" si="1"/>
        <v>2027</v>
      </c>
      <c r="G41" s="807" t="s">
        <v>699</v>
      </c>
      <c r="H41" s="803"/>
      <c r="I41" s="804"/>
    </row>
    <row r="42" spans="1:13" ht="15.75" customHeight="1" x14ac:dyDescent="0.2">
      <c r="A42" s="443" t="s">
        <v>695</v>
      </c>
      <c r="B42" s="442">
        <f>+B17</f>
        <v>0</v>
      </c>
      <c r="C42" s="442">
        <f t="shared" ref="C42:F42" si="2">+C17</f>
        <v>0</v>
      </c>
      <c r="D42" s="442">
        <f t="shared" si="2"/>
        <v>0</v>
      </c>
      <c r="E42" s="442">
        <f t="shared" si="2"/>
        <v>0</v>
      </c>
      <c r="F42" s="444">
        <f t="shared" si="2"/>
        <v>0</v>
      </c>
      <c r="G42" s="808"/>
      <c r="H42" s="801"/>
      <c r="I42" s="802"/>
      <c r="J42" s="163"/>
      <c r="K42" s="429"/>
    </row>
    <row r="43" spans="1:13" ht="15.75" customHeight="1" x14ac:dyDescent="0.2">
      <c r="A43" s="466"/>
      <c r="B43" s="468"/>
      <c r="C43" s="468"/>
      <c r="D43" s="468"/>
      <c r="E43" s="468"/>
      <c r="F43" s="467"/>
      <c r="G43" s="808"/>
      <c r="H43" s="801"/>
      <c r="I43" s="802"/>
      <c r="J43" s="163"/>
      <c r="K43" s="429"/>
    </row>
    <row r="44" spans="1:13" ht="15.75" customHeight="1" x14ac:dyDescent="0.2">
      <c r="A44" s="445" t="s">
        <v>42</v>
      </c>
      <c r="B44" s="446"/>
      <c r="C44" s="446"/>
      <c r="D44" s="446"/>
      <c r="E44" s="446"/>
      <c r="F44" s="447"/>
      <c r="G44" s="808"/>
      <c r="H44" s="801"/>
      <c r="I44" s="802"/>
    </row>
    <row r="45" spans="1:13" ht="15.75" customHeight="1" x14ac:dyDescent="0.2">
      <c r="A45" s="438" t="s">
        <v>282</v>
      </c>
      <c r="B45" s="439"/>
      <c r="C45" s="439"/>
      <c r="D45" s="439"/>
      <c r="E45" s="439"/>
      <c r="F45" s="439"/>
      <c r="G45" s="805"/>
      <c r="H45" s="806"/>
      <c r="I45" s="793"/>
    </row>
    <row r="46" spans="1:13" ht="15.75" customHeight="1" x14ac:dyDescent="0.2">
      <c r="A46" s="438" t="s">
        <v>350</v>
      </c>
      <c r="B46" s="439"/>
      <c r="C46" s="439"/>
      <c r="D46" s="439"/>
      <c r="E46" s="439"/>
      <c r="F46" s="440"/>
      <c r="G46" s="805"/>
      <c r="H46" s="806"/>
      <c r="I46" s="793"/>
    </row>
    <row r="47" spans="1:13" ht="15.75" customHeight="1" thickBot="1" x14ac:dyDescent="0.25">
      <c r="A47" s="167" t="s">
        <v>483</v>
      </c>
      <c r="B47" s="171">
        <f>SUM(B44:B46)</f>
        <v>0</v>
      </c>
      <c r="C47" s="171">
        <f>SUM(C44:C46)</f>
        <v>0</v>
      </c>
      <c r="D47" s="171">
        <f>SUM(D44:D46)</f>
        <v>0</v>
      </c>
      <c r="E47" s="171">
        <f>SUM(E44:E46)</f>
        <v>0</v>
      </c>
      <c r="F47" s="170">
        <f>SUM(F44:F46)</f>
        <v>0</v>
      </c>
      <c r="G47" s="805"/>
      <c r="H47" s="806"/>
      <c r="I47" s="793"/>
    </row>
  </sheetData>
  <mergeCells count="25">
    <mergeCell ref="A9:F9"/>
    <mergeCell ref="A33:F33"/>
    <mergeCell ref="D2:I2"/>
    <mergeCell ref="A7:E7"/>
    <mergeCell ref="F7:H7"/>
    <mergeCell ref="G28:I28"/>
    <mergeCell ref="G27:I27"/>
    <mergeCell ref="G26:I26"/>
    <mergeCell ref="G25:I25"/>
    <mergeCell ref="G24:I24"/>
    <mergeCell ref="G23:I23"/>
    <mergeCell ref="G22:I22"/>
    <mergeCell ref="G21:I21"/>
    <mergeCell ref="G20:I20"/>
    <mergeCell ref="G19:I19"/>
    <mergeCell ref="G18:I18"/>
    <mergeCell ref="G17:I17"/>
    <mergeCell ref="G16:I16"/>
    <mergeCell ref="G46:I46"/>
    <mergeCell ref="G47:I47"/>
    <mergeCell ref="G41:I41"/>
    <mergeCell ref="G42:I42"/>
    <mergeCell ref="G43:I43"/>
    <mergeCell ref="G44:I44"/>
    <mergeCell ref="G45:I45"/>
  </mergeCells>
  <dataValidations disablePrompts="1" count="1">
    <dataValidation type="list" showInputMessage="1" showErrorMessage="1" sqref="B11 B35" xr:uid="{00000000-0002-0000-0900-000000000000}">
      <formula1>"CREA,référentiel ENCC majoré 31%,dépenses détaillées,  "</formula1>
    </dataValidation>
  </dataValidations>
  <printOptions horizontalCentered="1" verticalCentered="1"/>
  <pageMargins left="0.70866141732283472" right="0.70866141732283472" top="0.74803149606299213" bottom="0.74803149606299213" header="0.31496062992125984" footer="0.31496062992125984"/>
  <pageSetup paperSize="9" scale="59" orientation="portrait" horizontalDpi="1200" verticalDpi="1200" r:id="rId1"/>
  <headerFooter>
    <oddHeader>&amp;C&amp;"-,Gras"&amp;20&amp;K0070C0Dépenses médicales et MDT</oddHeader>
    <oddFooter>&amp;LCHU REUNION&amp;C&amp;A
&amp;P/&amp;N&amp;R&amp;F</oddFooter>
  </headerFooter>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8">
    <tabColor theme="0" tint="-0.14999847407452621"/>
    <pageSetUpPr fitToPage="1"/>
  </sheetPr>
  <dimension ref="A1:S44"/>
  <sheetViews>
    <sheetView topLeftCell="A12" workbookViewId="0">
      <selection activeCell="G36" sqref="G36"/>
    </sheetView>
  </sheetViews>
  <sheetFormatPr baseColWidth="10" defaultRowHeight="15" x14ac:dyDescent="0.2"/>
  <cols>
    <col min="1" max="1" width="29.5" customWidth="1"/>
    <col min="2" max="2" width="18.5" customWidth="1"/>
    <col min="3" max="7" width="13.5" customWidth="1"/>
    <col min="8" max="8" width="13.83203125" customWidth="1"/>
    <col min="9" max="9" width="22.5" customWidth="1"/>
  </cols>
  <sheetData>
    <row r="1" spans="1:19" x14ac:dyDescent="0.2">
      <c r="G1" s="68"/>
    </row>
    <row r="2" spans="1:19" ht="60" customHeight="1" x14ac:dyDescent="0.2">
      <c r="D2" s="763" t="str">
        <f>+"2.5 Dépenses hotelières et induites"</f>
        <v>2.5 Dépenses hotelières et induites</v>
      </c>
      <c r="E2" s="763"/>
      <c r="F2" s="763"/>
      <c r="G2" s="763"/>
      <c r="H2" s="763"/>
      <c r="I2" s="763"/>
      <c r="L2" s="119"/>
    </row>
    <row r="3" spans="1:19" x14ac:dyDescent="0.2">
      <c r="G3" s="68"/>
    </row>
    <row r="4" spans="1:19" x14ac:dyDescent="0.2">
      <c r="G4" s="68"/>
    </row>
    <row r="5" spans="1:19" ht="18.75" customHeight="1" x14ac:dyDescent="0.25">
      <c r="D5" s="138"/>
      <c r="E5" s="285" t="s">
        <v>245</v>
      </c>
      <c r="F5" s="303" t="str">
        <f>IF(+'2- SYNTHESE FIN'!D5=0,"")</f>
        <v/>
      </c>
      <c r="G5" s="119"/>
      <c r="H5" s="155" t="s">
        <v>524</v>
      </c>
      <c r="I5" s="276" t="str">
        <f>+Cod_projet</f>
        <v>P_21_00x</v>
      </c>
    </row>
    <row r="7" spans="1:19" ht="33.75" customHeight="1" x14ac:dyDescent="0.2">
      <c r="A7" s="770" t="s">
        <v>242</v>
      </c>
      <c r="B7" s="770"/>
      <c r="C7" s="770"/>
      <c r="D7" s="770"/>
      <c r="E7" s="770"/>
      <c r="F7" s="771" t="str">
        <f>+'1- Avant Projet'!G6</f>
        <v>Biologie moléculaire - Plateforme NGS : réinternalisation des examens</v>
      </c>
      <c r="G7" s="771"/>
      <c r="H7" s="771"/>
      <c r="I7" s="308"/>
      <c r="J7" s="119"/>
      <c r="M7" s="9"/>
      <c r="N7" s="9"/>
      <c r="O7" s="9"/>
    </row>
    <row r="9" spans="1:19" ht="33.75" customHeight="1" x14ac:dyDescent="0.2">
      <c r="A9" s="809" t="s">
        <v>707</v>
      </c>
      <c r="B9" s="809"/>
      <c r="C9" s="809"/>
      <c r="D9" s="809"/>
      <c r="E9" s="809"/>
      <c r="F9" s="809"/>
      <c r="G9" s="809"/>
      <c r="H9" s="809"/>
      <c r="I9" s="458"/>
    </row>
    <row r="10" spans="1:19" ht="8.25" customHeight="1" x14ac:dyDescent="0.2"/>
    <row r="11" spans="1:19" ht="15.75" customHeight="1" x14ac:dyDescent="0.2">
      <c r="A11" s="156" t="s">
        <v>687</v>
      </c>
      <c r="B11" s="427" t="s">
        <v>693</v>
      </c>
      <c r="C11" s="219"/>
      <c r="D11" s="219"/>
      <c r="E11" s="219"/>
    </row>
    <row r="12" spans="1:19" ht="15.75" customHeight="1" x14ac:dyDescent="0.2">
      <c r="A12" s="156" t="s">
        <v>688</v>
      </c>
      <c r="B12" s="427" t="s">
        <v>694</v>
      </c>
      <c r="C12" s="219"/>
      <c r="D12" s="219"/>
      <c r="E12" s="219"/>
    </row>
    <row r="13" spans="1:19" ht="15.75" customHeight="1" x14ac:dyDescent="0.2">
      <c r="A13" s="156" t="s">
        <v>689</v>
      </c>
      <c r="B13" s="427" t="s">
        <v>692</v>
      </c>
      <c r="C13" s="219"/>
      <c r="D13" s="219"/>
      <c r="E13" s="219"/>
    </row>
    <row r="14" spans="1:19" ht="15.75" customHeight="1" x14ac:dyDescent="0.2">
      <c r="A14" s="156" t="s">
        <v>690</v>
      </c>
      <c r="B14" s="428" t="s">
        <v>691</v>
      </c>
      <c r="C14" s="219"/>
      <c r="D14" s="219"/>
      <c r="E14" s="219"/>
    </row>
    <row r="15" spans="1:19" ht="16" thickBot="1" x14ac:dyDescent="0.25">
      <c r="C15" s="163"/>
      <c r="D15" s="163"/>
      <c r="E15" s="163"/>
      <c r="F15" s="163"/>
      <c r="G15" s="163"/>
      <c r="H15" s="163"/>
      <c r="I15" s="163"/>
      <c r="J15" s="163"/>
      <c r="K15" s="163"/>
      <c r="L15" s="163"/>
      <c r="M15" s="163"/>
      <c r="N15" s="163"/>
      <c r="O15" s="163"/>
      <c r="P15" s="163"/>
      <c r="Q15" s="163"/>
      <c r="R15" s="163"/>
      <c r="S15" s="163"/>
    </row>
    <row r="16" spans="1:19" ht="16" thickBot="1" x14ac:dyDescent="0.25">
      <c r="C16" s="5">
        <f>+An_1</f>
        <v>2023</v>
      </c>
      <c r="D16" s="193">
        <f>+C16+1</f>
        <v>2024</v>
      </c>
      <c r="E16" s="193">
        <f>+D16+1</f>
        <v>2025</v>
      </c>
      <c r="F16" s="193">
        <f>+E16+1</f>
        <v>2026</v>
      </c>
      <c r="G16" s="8">
        <f>+F16+1</f>
        <v>2027</v>
      </c>
      <c r="H16" s="813" t="s">
        <v>699</v>
      </c>
      <c r="I16" s="804"/>
      <c r="J16" s="163"/>
      <c r="K16" s="163"/>
      <c r="L16" s="163"/>
      <c r="M16" s="163"/>
      <c r="N16" s="163"/>
      <c r="O16" s="163"/>
      <c r="P16" s="163"/>
      <c r="Q16" s="163"/>
      <c r="R16" s="163"/>
      <c r="S16" s="163"/>
    </row>
    <row r="17" spans="1:19" ht="16" x14ac:dyDescent="0.2">
      <c r="A17" s="460" t="s">
        <v>695</v>
      </c>
      <c r="B17" s="461"/>
      <c r="C17" s="463"/>
      <c r="D17" s="464"/>
      <c r="E17" s="464"/>
      <c r="F17" s="464"/>
      <c r="G17" s="465"/>
      <c r="H17" s="802"/>
      <c r="I17" s="810"/>
      <c r="J17" s="163"/>
      <c r="K17" s="163"/>
      <c r="L17" s="163"/>
      <c r="M17" s="163"/>
      <c r="N17" s="163"/>
      <c r="O17" s="163"/>
      <c r="P17" s="163"/>
      <c r="Q17" s="163"/>
      <c r="R17" s="163"/>
      <c r="S17" s="163"/>
    </row>
    <row r="18" spans="1:19" x14ac:dyDescent="0.2">
      <c r="A18" s="462"/>
      <c r="C18" s="471"/>
      <c r="D18" s="472"/>
      <c r="E18" s="472"/>
      <c r="F18" s="472"/>
      <c r="G18" s="470"/>
      <c r="H18" s="802"/>
      <c r="I18" s="810"/>
      <c r="J18" s="163"/>
      <c r="K18" s="163"/>
      <c r="L18" s="163"/>
      <c r="M18" s="163"/>
      <c r="N18" s="163"/>
      <c r="O18" s="163"/>
      <c r="P18" s="163"/>
      <c r="Q18" s="163"/>
      <c r="R18" s="163"/>
      <c r="S18" s="163"/>
    </row>
    <row r="19" spans="1:19" x14ac:dyDescent="0.2">
      <c r="A19" s="474" t="s">
        <v>700</v>
      </c>
      <c r="B19" s="473"/>
      <c r="C19" s="476"/>
      <c r="D19" s="476"/>
      <c r="E19" s="476"/>
      <c r="F19" s="476"/>
      <c r="G19" s="477"/>
      <c r="H19" s="811"/>
      <c r="I19" s="812"/>
      <c r="J19" s="163"/>
      <c r="K19" s="163"/>
      <c r="L19" s="163"/>
      <c r="M19" s="163"/>
      <c r="N19" s="163"/>
      <c r="O19" s="163"/>
      <c r="P19" s="163"/>
      <c r="Q19" s="163"/>
      <c r="R19" s="163"/>
      <c r="S19" s="163"/>
    </row>
    <row r="20" spans="1:19" x14ac:dyDescent="0.2">
      <c r="A20" s="474" t="s">
        <v>701</v>
      </c>
      <c r="B20" s="473"/>
      <c r="C20" s="476"/>
      <c r="D20" s="476"/>
      <c r="E20" s="476"/>
      <c r="F20" s="476"/>
      <c r="G20" s="477"/>
      <c r="H20" s="811"/>
      <c r="I20" s="812"/>
      <c r="J20" s="163"/>
      <c r="K20" s="163"/>
      <c r="L20" s="163"/>
      <c r="M20" s="163"/>
      <c r="N20" s="163"/>
      <c r="O20" s="163"/>
      <c r="P20" s="163"/>
      <c r="Q20" s="163"/>
      <c r="R20" s="163"/>
      <c r="S20" s="163"/>
    </row>
    <row r="21" spans="1:19" x14ac:dyDescent="0.2">
      <c r="A21" s="474" t="s">
        <v>702</v>
      </c>
      <c r="B21" s="473"/>
      <c r="C21" s="476"/>
      <c r="D21" s="476"/>
      <c r="E21" s="476"/>
      <c r="F21" s="476"/>
      <c r="G21" s="477"/>
      <c r="H21" s="811"/>
      <c r="I21" s="812"/>
      <c r="J21" s="163"/>
      <c r="K21" s="163"/>
      <c r="L21" s="163"/>
      <c r="M21" s="163"/>
      <c r="N21" s="163"/>
      <c r="O21" s="163"/>
      <c r="P21" s="163"/>
      <c r="Q21" s="163"/>
      <c r="R21" s="163"/>
      <c r="S21" s="163"/>
    </row>
    <row r="22" spans="1:19" x14ac:dyDescent="0.2">
      <c r="A22" s="474" t="s">
        <v>703</v>
      </c>
      <c r="B22" s="473"/>
      <c r="C22" s="476"/>
      <c r="D22" s="476"/>
      <c r="E22" s="476"/>
      <c r="F22" s="476"/>
      <c r="G22" s="477"/>
      <c r="H22" s="811"/>
      <c r="I22" s="812"/>
      <c r="J22" s="163"/>
      <c r="K22" s="163"/>
      <c r="L22" s="163"/>
      <c r="M22" s="163"/>
      <c r="N22" s="163"/>
      <c r="O22" s="163"/>
      <c r="P22" s="163"/>
      <c r="Q22" s="163"/>
      <c r="R22" s="163"/>
      <c r="S22" s="163"/>
    </row>
    <row r="23" spans="1:19" x14ac:dyDescent="0.2">
      <c r="A23" s="474" t="s">
        <v>704</v>
      </c>
      <c r="B23" s="473"/>
      <c r="C23" s="476"/>
      <c r="D23" s="476"/>
      <c r="E23" s="476"/>
      <c r="F23" s="476"/>
      <c r="G23" s="477"/>
      <c r="H23" s="811"/>
      <c r="I23" s="812"/>
      <c r="J23" s="163"/>
      <c r="K23" s="163"/>
      <c r="L23" s="163"/>
      <c r="M23" s="163"/>
      <c r="N23" s="163"/>
      <c r="O23" s="163"/>
      <c r="P23" s="163"/>
      <c r="Q23" s="163"/>
      <c r="R23" s="163"/>
      <c r="S23" s="163"/>
    </row>
    <row r="24" spans="1:19" x14ac:dyDescent="0.2">
      <c r="A24" s="474" t="s">
        <v>705</v>
      </c>
      <c r="B24" s="473"/>
      <c r="C24" s="476">
        <v>12000</v>
      </c>
      <c r="D24" s="476">
        <v>12000</v>
      </c>
      <c r="E24" s="476">
        <f>C24</f>
        <v>12000</v>
      </c>
      <c r="F24" s="476">
        <f>C24</f>
        <v>12000</v>
      </c>
      <c r="G24" s="477">
        <f>C24</f>
        <v>12000</v>
      </c>
      <c r="H24" s="811" t="s">
        <v>1217</v>
      </c>
      <c r="I24" s="812"/>
      <c r="J24" s="163"/>
      <c r="K24" s="163"/>
      <c r="L24" s="163"/>
      <c r="M24" s="163"/>
      <c r="N24" s="163"/>
      <c r="O24" s="163"/>
      <c r="P24" s="163"/>
      <c r="Q24" s="163"/>
      <c r="R24" s="163"/>
      <c r="S24" s="163"/>
    </row>
    <row r="25" spans="1:19" x14ac:dyDescent="0.2">
      <c r="A25" s="474" t="s">
        <v>706</v>
      </c>
      <c r="B25" s="473"/>
      <c r="C25" s="476">
        <v>1000</v>
      </c>
      <c r="D25" s="476">
        <v>1000</v>
      </c>
      <c r="E25" s="476">
        <v>1000</v>
      </c>
      <c r="F25" s="476">
        <v>1000</v>
      </c>
      <c r="G25" s="477">
        <v>1000</v>
      </c>
      <c r="H25" s="811" t="s">
        <v>1216</v>
      </c>
      <c r="I25" s="812"/>
      <c r="J25" s="163"/>
      <c r="K25" s="163"/>
      <c r="L25" s="163"/>
      <c r="M25" s="163"/>
      <c r="N25" s="163"/>
      <c r="O25" s="163"/>
      <c r="P25" s="163"/>
      <c r="Q25" s="163"/>
      <c r="R25" s="163"/>
      <c r="S25" s="163"/>
    </row>
    <row r="26" spans="1:19" x14ac:dyDescent="0.2">
      <c r="A26" s="475" t="s">
        <v>1275</v>
      </c>
      <c r="B26" s="394"/>
      <c r="C26" s="478"/>
      <c r="D26" s="478"/>
      <c r="E26" s="478"/>
      <c r="F26" s="478"/>
      <c r="G26" s="479"/>
      <c r="H26" s="802"/>
      <c r="I26" s="810"/>
      <c r="J26" s="163"/>
      <c r="K26" s="163"/>
      <c r="L26" s="163"/>
      <c r="M26" s="163"/>
      <c r="N26" s="163"/>
      <c r="O26" s="163"/>
      <c r="P26" s="163"/>
      <c r="Q26" s="163"/>
      <c r="R26" s="163"/>
      <c r="S26" s="163"/>
    </row>
    <row r="27" spans="1:19" ht="16" thickBot="1" x14ac:dyDescent="0.25">
      <c r="A27" s="167" t="s">
        <v>708</v>
      </c>
      <c r="B27" s="196"/>
      <c r="C27" s="168">
        <f>SUM(C19:C26)</f>
        <v>13000</v>
      </c>
      <c r="D27" s="169">
        <f>SUM(D19:D26)</f>
        <v>13000</v>
      </c>
      <c r="E27" s="169">
        <f>SUM(E19:E26)</f>
        <v>13000</v>
      </c>
      <c r="F27" s="169">
        <f>SUM(F19:F26)</f>
        <v>13000</v>
      </c>
      <c r="G27" s="170">
        <f>SUM(G19:G26)</f>
        <v>13000</v>
      </c>
      <c r="H27" s="163"/>
      <c r="I27" s="163"/>
      <c r="J27" s="163"/>
      <c r="K27" s="163"/>
      <c r="L27" s="163"/>
      <c r="M27" s="163"/>
      <c r="N27" s="163"/>
      <c r="O27" s="163"/>
      <c r="P27" s="163"/>
      <c r="Q27" s="163"/>
      <c r="R27" s="163"/>
      <c r="S27" s="163"/>
    </row>
    <row r="28" spans="1:19" x14ac:dyDescent="0.2">
      <c r="C28" s="163"/>
      <c r="D28" s="163"/>
      <c r="E28" s="163"/>
      <c r="F28" s="163"/>
      <c r="G28" s="163"/>
      <c r="H28" s="163"/>
      <c r="I28" s="163"/>
      <c r="J28" s="163"/>
      <c r="K28" s="163"/>
      <c r="L28" s="163"/>
      <c r="M28" s="163"/>
      <c r="N28" s="163"/>
      <c r="O28" s="163"/>
      <c r="P28" s="163"/>
      <c r="Q28" s="163"/>
      <c r="R28" s="163"/>
      <c r="S28" s="163"/>
    </row>
    <row r="29" spans="1:19" x14ac:dyDescent="0.2">
      <c r="C29" s="163"/>
      <c r="D29" s="163"/>
      <c r="E29" s="163"/>
      <c r="F29" s="163"/>
      <c r="G29" s="163"/>
      <c r="H29" s="163"/>
      <c r="I29" s="163"/>
      <c r="J29" s="163"/>
      <c r="K29" s="163"/>
      <c r="L29" s="163"/>
      <c r="M29" s="163"/>
      <c r="N29" s="163"/>
      <c r="O29" s="163"/>
      <c r="P29" s="163"/>
      <c r="Q29" s="163"/>
      <c r="R29" s="163"/>
      <c r="S29" s="163"/>
    </row>
    <row r="30" spans="1:19" x14ac:dyDescent="0.2">
      <c r="C30" s="163"/>
      <c r="D30" s="163"/>
      <c r="E30" s="163"/>
      <c r="F30" s="163"/>
      <c r="G30" s="163"/>
      <c r="H30" s="163"/>
      <c r="I30" s="163"/>
      <c r="J30" s="163"/>
      <c r="K30" s="163"/>
      <c r="L30" s="163"/>
      <c r="M30" s="163"/>
      <c r="N30" s="163"/>
      <c r="O30" s="163"/>
      <c r="P30" s="163"/>
      <c r="Q30" s="163"/>
      <c r="R30" s="163"/>
      <c r="S30" s="163"/>
    </row>
    <row r="31" spans="1:19" ht="33.75" customHeight="1" x14ac:dyDescent="0.2">
      <c r="A31" s="809" t="s">
        <v>709</v>
      </c>
      <c r="B31" s="809"/>
      <c r="C31" s="809"/>
      <c r="D31" s="809"/>
      <c r="E31" s="809"/>
      <c r="F31" s="809"/>
      <c r="G31" s="809"/>
      <c r="H31" s="809"/>
      <c r="I31" s="459"/>
      <c r="J31" s="163"/>
      <c r="K31" s="163"/>
      <c r="L31" s="163"/>
      <c r="M31" s="163"/>
      <c r="N31" s="163"/>
      <c r="O31" s="163"/>
      <c r="P31" s="163"/>
      <c r="Q31" s="163"/>
      <c r="R31" s="163"/>
      <c r="S31" s="163"/>
    </row>
    <row r="32" spans="1:19" x14ac:dyDescent="0.2">
      <c r="G32" s="163"/>
      <c r="H32" s="163"/>
      <c r="I32" s="163"/>
      <c r="J32" s="163"/>
      <c r="K32" s="163"/>
      <c r="L32" s="163"/>
      <c r="M32" s="163"/>
      <c r="N32" s="163"/>
      <c r="O32" s="163"/>
      <c r="P32" s="163"/>
      <c r="Q32" s="163"/>
      <c r="R32" s="163"/>
      <c r="S32" s="163"/>
    </row>
    <row r="33" spans="1:19" x14ac:dyDescent="0.2">
      <c r="C33" s="163"/>
      <c r="D33" s="163"/>
      <c r="E33" s="163"/>
      <c r="F33" s="163"/>
      <c r="G33" s="163"/>
      <c r="H33" s="163"/>
      <c r="I33" s="163"/>
      <c r="J33" s="163"/>
      <c r="K33" s="163"/>
      <c r="L33" s="163"/>
      <c r="M33" s="163"/>
      <c r="N33" s="163"/>
      <c r="O33" s="163"/>
      <c r="P33" s="163"/>
      <c r="Q33" s="163"/>
      <c r="R33" s="163"/>
      <c r="S33" s="163"/>
    </row>
    <row r="34" spans="1:19" x14ac:dyDescent="0.2">
      <c r="C34" s="163"/>
      <c r="D34" s="163"/>
      <c r="E34" s="163"/>
      <c r="F34" s="163"/>
      <c r="G34" s="163"/>
      <c r="H34" s="163"/>
      <c r="I34" s="163"/>
      <c r="J34" s="163"/>
      <c r="K34" s="163"/>
      <c r="L34" s="163"/>
      <c r="M34" s="163"/>
      <c r="N34" s="163"/>
      <c r="O34" s="163"/>
      <c r="P34" s="163"/>
      <c r="Q34" s="163"/>
      <c r="R34" s="163"/>
      <c r="S34" s="163"/>
    </row>
    <row r="35" spans="1:19" x14ac:dyDescent="0.2">
      <c r="A35" s="204" t="s">
        <v>713</v>
      </c>
      <c r="B35" s="206" t="s">
        <v>490</v>
      </c>
      <c r="C35" s="163"/>
      <c r="D35" s="163"/>
      <c r="E35" s="163"/>
      <c r="F35" s="163"/>
      <c r="G35" s="163"/>
      <c r="H35" s="163"/>
      <c r="I35" s="163"/>
      <c r="J35" s="163"/>
      <c r="K35" s="163"/>
      <c r="L35" s="163"/>
      <c r="M35" s="163"/>
      <c r="N35" s="163"/>
      <c r="O35" s="163"/>
      <c r="P35" s="163"/>
      <c r="Q35" s="163"/>
      <c r="R35" s="163"/>
      <c r="S35" s="163"/>
    </row>
    <row r="36" spans="1:19" x14ac:dyDescent="0.2">
      <c r="A36" s="155" t="s">
        <v>491</v>
      </c>
      <c r="B36" s="205">
        <f>+VLOOKUP($B$35,'Listes déroulantes'!$A$16:$B$19,2,FALSE)</f>
        <v>3</v>
      </c>
      <c r="C36" s="163"/>
      <c r="D36" s="163"/>
      <c r="E36" s="163"/>
      <c r="F36" s="163"/>
      <c r="G36" s="163"/>
      <c r="H36" s="163"/>
      <c r="I36" s="163"/>
      <c r="J36" s="163"/>
      <c r="K36" s="163"/>
      <c r="L36" s="163"/>
      <c r="M36" s="163"/>
      <c r="N36" s="163"/>
      <c r="O36" s="163"/>
      <c r="P36" s="163"/>
      <c r="Q36" s="163"/>
      <c r="R36" s="163"/>
      <c r="S36" s="163"/>
    </row>
    <row r="37" spans="1:19" ht="16" thickBot="1" x14ac:dyDescent="0.25">
      <c r="A37" s="155"/>
      <c r="B37" s="163"/>
      <c r="C37" s="163"/>
      <c r="D37" s="163"/>
      <c r="E37" s="163"/>
      <c r="F37" s="163"/>
      <c r="G37" s="163"/>
      <c r="H37" s="163"/>
      <c r="I37" s="163"/>
      <c r="J37" s="163"/>
      <c r="K37" s="163"/>
      <c r="L37" s="163"/>
      <c r="M37" s="163"/>
      <c r="N37" s="163"/>
      <c r="O37" s="163"/>
      <c r="P37" s="163"/>
      <c r="Q37" s="163"/>
      <c r="R37" s="163"/>
      <c r="S37" s="163"/>
    </row>
    <row r="38" spans="1:19" ht="16" thickBot="1" x14ac:dyDescent="0.25">
      <c r="A38" s="124"/>
      <c r="B38" s="68"/>
      <c r="C38" s="307">
        <f>+An_1</f>
        <v>2023</v>
      </c>
      <c r="D38" s="441">
        <f>+C38+1</f>
        <v>2024</v>
      </c>
      <c r="E38" s="441">
        <f t="shared" ref="E38" si="0">+D38+1</f>
        <v>2025</v>
      </c>
      <c r="F38" s="441">
        <f t="shared" ref="F38" si="1">+E38+1</f>
        <v>2026</v>
      </c>
      <c r="G38" s="62">
        <f t="shared" ref="G38" si="2">+F38+1</f>
        <v>2027</v>
      </c>
      <c r="H38" s="813" t="s">
        <v>699</v>
      </c>
      <c r="I38" s="804"/>
      <c r="J38" s="163"/>
      <c r="K38" s="163"/>
      <c r="L38" s="163"/>
      <c r="M38" s="163"/>
      <c r="N38" s="163"/>
      <c r="O38" s="163"/>
      <c r="P38" s="163"/>
      <c r="Q38" s="163"/>
      <c r="R38" s="163"/>
      <c r="S38" s="163"/>
    </row>
    <row r="39" spans="1:19" x14ac:dyDescent="0.2">
      <c r="A39" s="480" t="s">
        <v>493</v>
      </c>
      <c r="B39" s="481">
        <v>2.21</v>
      </c>
      <c r="C39" s="482">
        <f>+(($B$36*'2.2 ACTIVITE RECETTES'!D55)+('2.2 ACTIVITE RECETTES'!D57*2))*$B39</f>
        <v>0</v>
      </c>
      <c r="D39" s="482">
        <f>+(($B$36*'2.2 ACTIVITE RECETTES'!E55)+('2.2 ACTIVITE RECETTES'!E57*2))*$B39</f>
        <v>0</v>
      </c>
      <c r="E39" s="482">
        <f>+(($B$36*'2.2 ACTIVITE RECETTES'!F55)+('2.2 ACTIVITE RECETTES'!F57*2))*$B39</f>
        <v>0</v>
      </c>
      <c r="F39" s="482">
        <f>+(($B$36*'2.2 ACTIVITE RECETTES'!G55)+('2.2 ACTIVITE RECETTES'!G57*2))*$B39</f>
        <v>0</v>
      </c>
      <c r="G39" s="483">
        <f>+(($B$36*'2.2 ACTIVITE RECETTES'!H55)+('2.2 ACTIVITE RECETTES'!H57*2))*$B39</f>
        <v>0</v>
      </c>
      <c r="H39" s="802"/>
      <c r="I39" s="810"/>
      <c r="J39" s="163"/>
      <c r="K39" s="163"/>
      <c r="L39" s="163"/>
      <c r="M39" s="163"/>
      <c r="N39" s="163"/>
      <c r="O39" s="163"/>
      <c r="P39" s="163"/>
      <c r="Q39" s="163"/>
      <c r="R39" s="163"/>
      <c r="S39" s="163"/>
    </row>
    <row r="40" spans="1:19" ht="16" thickBot="1" x14ac:dyDescent="0.25">
      <c r="A40" s="484" t="s">
        <v>492</v>
      </c>
      <c r="B40" s="485">
        <v>11.802899555973333</v>
      </c>
      <c r="C40" s="486">
        <f>('2.2 ACTIVITE RECETTES'!D55*2+'2.2 ACTIVITE RECETTES'!D57*1+'2.2 ACTIVITE RECETTES'!D58*1)*'2.5 T3 Dep hot et induites'!$B$40</f>
        <v>0</v>
      </c>
      <c r="D40" s="486">
        <f>('2.2 ACTIVITE RECETTES'!E55*2+'2.2 ACTIVITE RECETTES'!E57*1+'2.2 ACTIVITE RECETTES'!E58*1)*'2.5 T3 Dep hot et induites'!$B$40</f>
        <v>0</v>
      </c>
      <c r="E40" s="486">
        <f>('2.2 ACTIVITE RECETTES'!F55*2+'2.2 ACTIVITE RECETTES'!F57*1+'2.2 ACTIVITE RECETTES'!F58*1)*'2.5 T3 Dep hot et induites'!$B$40</f>
        <v>0</v>
      </c>
      <c r="F40" s="486">
        <f>('2.2 ACTIVITE RECETTES'!G55*2+'2.2 ACTIVITE RECETTES'!G57*1+'2.2 ACTIVITE RECETTES'!G58*1)*'2.5 T3 Dep hot et induites'!$B$40</f>
        <v>0</v>
      </c>
      <c r="G40" s="487">
        <f>('2.2 ACTIVITE RECETTES'!H55*2+'2.2 ACTIVITE RECETTES'!H57*1+'2.2 ACTIVITE RECETTES'!H58*1)*'2.5 T3 Dep hot et induites'!$B$40</f>
        <v>0</v>
      </c>
      <c r="H40" s="802"/>
      <c r="I40" s="810"/>
      <c r="J40" s="163"/>
      <c r="K40" s="163"/>
      <c r="L40" s="163"/>
      <c r="M40" s="163"/>
      <c r="N40" s="163"/>
      <c r="O40" s="163"/>
      <c r="P40" s="163"/>
      <c r="Q40" s="163"/>
      <c r="R40" s="163"/>
      <c r="S40" s="163"/>
    </row>
    <row r="41" spans="1:19" x14ac:dyDescent="0.2">
      <c r="A41" s="124"/>
      <c r="D41" s="163"/>
      <c r="E41" s="163"/>
      <c r="F41" s="163"/>
      <c r="G41" s="163"/>
      <c r="H41" s="163"/>
      <c r="I41" s="163"/>
      <c r="J41" s="163"/>
      <c r="K41" s="163"/>
      <c r="L41" s="163"/>
      <c r="M41" s="163"/>
      <c r="N41" s="163"/>
      <c r="O41" s="163"/>
      <c r="P41" s="163"/>
      <c r="Q41" s="163"/>
      <c r="R41" s="163"/>
      <c r="S41" s="163"/>
    </row>
    <row r="42" spans="1:19" x14ac:dyDescent="0.2">
      <c r="C42" s="207"/>
      <c r="D42" s="163"/>
      <c r="E42" s="163"/>
      <c r="F42" s="163"/>
      <c r="G42" s="163"/>
      <c r="H42" s="163"/>
      <c r="I42" s="163"/>
      <c r="J42" s="163"/>
      <c r="K42" s="163"/>
      <c r="L42" s="163"/>
      <c r="M42" s="163"/>
      <c r="N42" s="163"/>
      <c r="O42" s="163"/>
      <c r="P42" s="163"/>
      <c r="Q42" s="163"/>
      <c r="R42" s="163"/>
      <c r="S42" s="163"/>
    </row>
    <row r="43" spans="1:19" x14ac:dyDescent="0.2">
      <c r="C43" s="163"/>
      <c r="D43" s="163"/>
      <c r="E43" s="163"/>
      <c r="F43" s="163"/>
      <c r="G43" s="163"/>
      <c r="H43" s="163"/>
      <c r="I43" s="163"/>
      <c r="J43" s="163"/>
      <c r="K43" s="163"/>
      <c r="L43" s="163"/>
      <c r="M43" s="163"/>
      <c r="N43" s="163"/>
      <c r="O43" s="163"/>
      <c r="P43" s="163"/>
      <c r="Q43" s="163"/>
      <c r="R43" s="163"/>
      <c r="S43" s="163"/>
    </row>
    <row r="44" spans="1:19" x14ac:dyDescent="0.2">
      <c r="C44" s="163"/>
      <c r="D44" s="163"/>
      <c r="E44" s="163"/>
      <c r="F44" s="163"/>
      <c r="G44" s="163"/>
      <c r="H44" s="163"/>
      <c r="I44" s="163"/>
      <c r="J44" s="163"/>
      <c r="K44" s="163"/>
      <c r="L44" s="163"/>
      <c r="M44" s="163"/>
      <c r="N44" s="163"/>
      <c r="O44" s="163"/>
      <c r="P44" s="163"/>
      <c r="Q44" s="163"/>
      <c r="R44" s="163"/>
      <c r="S44" s="163"/>
    </row>
  </sheetData>
  <mergeCells count="19">
    <mergeCell ref="A9:H9"/>
    <mergeCell ref="A31:H31"/>
    <mergeCell ref="D2:I2"/>
    <mergeCell ref="A7:E7"/>
    <mergeCell ref="F7:H7"/>
    <mergeCell ref="H26:I26"/>
    <mergeCell ref="H19:I19"/>
    <mergeCell ref="H18:I18"/>
    <mergeCell ref="H17:I17"/>
    <mergeCell ref="H16:I16"/>
    <mergeCell ref="H23:I23"/>
    <mergeCell ref="H24:I24"/>
    <mergeCell ref="H25:I25"/>
    <mergeCell ref="H40:I40"/>
    <mergeCell ref="H20:I20"/>
    <mergeCell ref="H21:I21"/>
    <mergeCell ref="H22:I22"/>
    <mergeCell ref="H38:I38"/>
    <mergeCell ref="H39:I39"/>
  </mergeCells>
  <dataValidations disablePrompts="1" xWindow="445" yWindow="345" count="1">
    <dataValidation type="list" showInputMessage="1" showErrorMessage="1" sqref="B11" xr:uid="{00000000-0002-0000-0A00-000000000000}">
      <formula1>"CREA,référentiel ENCC majoré 31%,dépenses détaillées,  "</formula1>
    </dataValidation>
  </dataValidations>
  <printOptions horizontalCentered="1" verticalCentered="1"/>
  <pageMargins left="0.70866141732283472" right="0.70866141732283472" top="0.74803149606299213" bottom="0.74803149606299213" header="0.31496062992125984" footer="0.31496062992125984"/>
  <pageSetup paperSize="9" scale="57" orientation="portrait" horizontalDpi="1200" verticalDpi="1200" r:id="rId1"/>
  <headerFooter>
    <oddHeader>&amp;C&amp;"-,Gras"&amp;20&amp;K0070C0Dépenses hotelières et logistiques</oddHeader>
    <oddFooter>&amp;LCHU REUNION&amp;C&amp;A
&amp;P/&amp;N&amp;R&amp;F</oddFooter>
  </headerFooter>
  <drawing r:id="rId2"/>
  <legacyDrawing r:id="rId3"/>
  <extLst>
    <ext xmlns:x14="http://schemas.microsoft.com/office/spreadsheetml/2009/9/main" uri="{CCE6A557-97BC-4b89-ADB6-D9C93CAAB3DF}">
      <x14:dataValidations xmlns:xm="http://schemas.microsoft.com/office/excel/2006/main" disablePrompts="1" xWindow="445" yWindow="345" count="1">
        <x14:dataValidation type="list" allowBlank="1" showInputMessage="1" showErrorMessage="1" promptTitle="Cliquer sur type activité" prompt="Type activité:_x000a_1. Med, SSR, Psy_x000a_2. Obs et Chir_x000a_3. Soins Intensifs (SI) et Réa" xr:uid="{00000000-0002-0000-0A00-000001000000}">
          <x14:formula1>
            <xm:f>'Listes déroulantes'!$A$16:$A$19</xm:f>
          </x14:formula1>
          <xm:sqref>B35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tabColor theme="9"/>
    <pageSetUpPr fitToPage="1"/>
  </sheetPr>
  <dimension ref="A2:K72"/>
  <sheetViews>
    <sheetView workbookViewId="0">
      <selection activeCell="A24" sqref="A24:F27"/>
    </sheetView>
  </sheetViews>
  <sheetFormatPr baseColWidth="10" defaultRowHeight="15" x14ac:dyDescent="0.2"/>
  <cols>
    <col min="1" max="1" width="33.5" customWidth="1"/>
    <col min="2" max="2" width="22.1640625" bestFit="1" customWidth="1"/>
    <col min="3" max="3" width="19" bestFit="1" customWidth="1"/>
    <col min="4" max="4" width="19.83203125" customWidth="1"/>
    <col min="5" max="5" width="21.1640625" customWidth="1"/>
    <col min="6" max="6" width="19.6640625" customWidth="1"/>
    <col min="7" max="7" width="13.6640625" style="68" customWidth="1"/>
  </cols>
  <sheetData>
    <row r="2" spans="1:11" ht="33.75" customHeight="1" x14ac:dyDescent="0.2">
      <c r="C2" s="815" t="str">
        <f>+"3- EVALUATION"</f>
        <v>3- EVALUATION</v>
      </c>
      <c r="D2" s="815"/>
      <c r="E2" s="815"/>
      <c r="F2" s="816"/>
    </row>
    <row r="5" spans="1:11" ht="18.75" customHeight="1" x14ac:dyDescent="0.25">
      <c r="C5" s="285" t="s">
        <v>245</v>
      </c>
      <c r="D5" s="304"/>
      <c r="E5" s="155" t="s">
        <v>524</v>
      </c>
      <c r="F5" s="276" t="str">
        <f>+Cod_projet</f>
        <v>P_21_00x</v>
      </c>
      <c r="G5" s="119"/>
      <c r="H5" s="119"/>
      <c r="I5" s="119"/>
      <c r="J5" s="119"/>
      <c r="K5" s="119"/>
    </row>
    <row r="6" spans="1:11" x14ac:dyDescent="0.2">
      <c r="G6"/>
    </row>
    <row r="7" spans="1:11" ht="33.75" customHeight="1" x14ac:dyDescent="0.2">
      <c r="A7" s="817" t="s">
        <v>242</v>
      </c>
      <c r="B7" s="817"/>
      <c r="C7" s="817"/>
      <c r="D7" s="818" t="str">
        <f>+'1- Avant Projet'!G6</f>
        <v>Biologie moléculaire - Plateforme NGS : réinternalisation des examens</v>
      </c>
      <c r="E7" s="818"/>
      <c r="F7" s="818"/>
      <c r="G7" s="119"/>
      <c r="H7" s="119"/>
      <c r="I7" s="119"/>
      <c r="J7" s="119"/>
    </row>
    <row r="8" spans="1:11" x14ac:dyDescent="0.2">
      <c r="G8"/>
    </row>
    <row r="9" spans="1:11" ht="24" x14ac:dyDescent="0.3">
      <c r="A9" s="389" t="s">
        <v>545</v>
      </c>
      <c r="B9" s="388"/>
      <c r="C9" s="388"/>
      <c r="D9" s="388"/>
      <c r="E9" s="388"/>
      <c r="F9" s="388"/>
    </row>
    <row r="10" spans="1:11" x14ac:dyDescent="0.2">
      <c r="B10" s="124"/>
      <c r="C10" s="124"/>
      <c r="D10" s="64"/>
    </row>
    <row r="11" spans="1:11" x14ac:dyDescent="0.2">
      <c r="A11" s="814" t="s">
        <v>547</v>
      </c>
      <c r="B11" s="814"/>
      <c r="C11" s="814"/>
      <c r="D11" s="814"/>
      <c r="E11" s="814"/>
      <c r="F11" s="814"/>
    </row>
    <row r="12" spans="1:11" x14ac:dyDescent="0.2">
      <c r="A12" s="814"/>
      <c r="B12" s="814"/>
      <c r="C12" s="814"/>
      <c r="D12" s="814"/>
      <c r="E12" s="814"/>
      <c r="F12" s="814"/>
    </row>
    <row r="13" spans="1:11" x14ac:dyDescent="0.2">
      <c r="A13" s="814"/>
      <c r="B13" s="814"/>
      <c r="C13" s="814"/>
      <c r="D13" s="814"/>
      <c r="E13" s="814"/>
      <c r="F13" s="814"/>
    </row>
    <row r="14" spans="1:11" x14ac:dyDescent="0.2">
      <c r="A14" s="814"/>
      <c r="B14" s="814"/>
      <c r="C14" s="814"/>
      <c r="D14" s="814"/>
      <c r="E14" s="814"/>
      <c r="F14" s="814"/>
    </row>
    <row r="15" spans="1:11" x14ac:dyDescent="0.2">
      <c r="B15" s="124"/>
      <c r="C15" s="124"/>
      <c r="D15" s="64"/>
    </row>
    <row r="16" spans="1:11" x14ac:dyDescent="0.2">
      <c r="B16" s="391">
        <f>An_1</f>
        <v>2023</v>
      </c>
      <c r="C16" s="391">
        <f>+B16+1</f>
        <v>2024</v>
      </c>
      <c r="D16" s="391">
        <f t="shared" ref="D16:F16" si="0">+C16+1</f>
        <v>2025</v>
      </c>
      <c r="E16" s="391">
        <f t="shared" si="0"/>
        <v>2026</v>
      </c>
      <c r="F16" s="391">
        <f t="shared" si="0"/>
        <v>2027</v>
      </c>
    </row>
    <row r="17" spans="1:6" x14ac:dyDescent="0.2">
      <c r="A17" s="1" t="s">
        <v>546</v>
      </c>
      <c r="B17" s="390"/>
      <c r="C17" s="390"/>
      <c r="D17" s="390"/>
      <c r="E17" s="390"/>
      <c r="F17" s="390"/>
    </row>
    <row r="18" spans="1:6" x14ac:dyDescent="0.2">
      <c r="A18" s="1" t="s">
        <v>548</v>
      </c>
      <c r="B18" s="390"/>
      <c r="C18" s="390"/>
      <c r="D18" s="390"/>
      <c r="E18" s="390"/>
      <c r="F18" s="390"/>
    </row>
    <row r="19" spans="1:6" x14ac:dyDescent="0.2">
      <c r="A19" s="1" t="s">
        <v>555</v>
      </c>
      <c r="B19" s="390"/>
      <c r="C19" s="390"/>
      <c r="D19" s="390"/>
      <c r="E19" s="390"/>
      <c r="F19" s="390"/>
    </row>
    <row r="20" spans="1:6" x14ac:dyDescent="0.2">
      <c r="A20" s="1" t="s">
        <v>549</v>
      </c>
      <c r="B20" s="390"/>
      <c r="C20" s="390"/>
      <c r="D20" s="390"/>
      <c r="E20" s="390"/>
      <c r="F20" s="390"/>
    </row>
    <row r="21" spans="1:6" x14ac:dyDescent="0.2">
      <c r="A21" s="200"/>
      <c r="B21" s="201"/>
      <c r="C21" s="201"/>
      <c r="D21" s="201"/>
      <c r="E21" s="201"/>
      <c r="F21" s="201"/>
    </row>
    <row r="22" spans="1:6" ht="24" x14ac:dyDescent="0.3">
      <c r="A22" s="389" t="s">
        <v>550</v>
      </c>
      <c r="B22" s="388"/>
      <c r="C22" s="388"/>
      <c r="D22" s="388"/>
      <c r="E22" s="388"/>
      <c r="F22" s="388"/>
    </row>
    <row r="23" spans="1:6" x14ac:dyDescent="0.2">
      <c r="B23" s="124"/>
      <c r="C23" s="124"/>
      <c r="D23" s="64"/>
    </row>
    <row r="24" spans="1:6" x14ac:dyDescent="0.2">
      <c r="A24" s="814" t="s">
        <v>547</v>
      </c>
      <c r="B24" s="814"/>
      <c r="C24" s="814"/>
      <c r="D24" s="814"/>
      <c r="E24" s="814"/>
      <c r="F24" s="814"/>
    </row>
    <row r="25" spans="1:6" x14ac:dyDescent="0.2">
      <c r="A25" s="814"/>
      <c r="B25" s="814"/>
      <c r="C25" s="814"/>
      <c r="D25" s="814"/>
      <c r="E25" s="814"/>
      <c r="F25" s="814"/>
    </row>
    <row r="26" spans="1:6" x14ac:dyDescent="0.2">
      <c r="A26" s="814"/>
      <c r="B26" s="814"/>
      <c r="C26" s="814"/>
      <c r="D26" s="814"/>
      <c r="E26" s="814"/>
      <c r="F26" s="814"/>
    </row>
    <row r="27" spans="1:6" x14ac:dyDescent="0.2">
      <c r="A27" s="814"/>
      <c r="B27" s="814"/>
      <c r="C27" s="814"/>
      <c r="D27" s="814"/>
      <c r="E27" s="814"/>
      <c r="F27" s="814"/>
    </row>
    <row r="28" spans="1:6" x14ac:dyDescent="0.2">
      <c r="B28" s="124"/>
      <c r="C28" s="124"/>
      <c r="D28" s="64"/>
    </row>
    <row r="29" spans="1:6" x14ac:dyDescent="0.2">
      <c r="B29" s="391">
        <f>An_1</f>
        <v>2023</v>
      </c>
      <c r="C29" s="391">
        <f>+B29+1</f>
        <v>2024</v>
      </c>
      <c r="D29" s="391">
        <f t="shared" ref="D29" si="1">+C29+1</f>
        <v>2025</v>
      </c>
      <c r="E29" s="391">
        <f t="shared" ref="E29" si="2">+D29+1</f>
        <v>2026</v>
      </c>
      <c r="F29" s="391">
        <f t="shared" ref="F29" si="3">+E29+1</f>
        <v>2027</v>
      </c>
    </row>
    <row r="30" spans="1:6" x14ac:dyDescent="0.2">
      <c r="A30" s="1" t="s">
        <v>546</v>
      </c>
      <c r="B30" s="390"/>
      <c r="C30" s="390"/>
      <c r="D30" s="390"/>
      <c r="E30" s="390"/>
      <c r="F30" s="390"/>
    </row>
    <row r="31" spans="1:6" x14ac:dyDescent="0.2">
      <c r="A31" s="1" t="s">
        <v>548</v>
      </c>
      <c r="B31" s="390"/>
      <c r="C31" s="390"/>
      <c r="D31" s="390"/>
      <c r="E31" s="390"/>
      <c r="F31" s="390"/>
    </row>
    <row r="32" spans="1:6" x14ac:dyDescent="0.2">
      <c r="A32" s="1" t="s">
        <v>555</v>
      </c>
      <c r="B32" s="390"/>
      <c r="C32" s="390"/>
      <c r="D32" s="390"/>
      <c r="E32" s="390"/>
      <c r="F32" s="390"/>
    </row>
    <row r="33" spans="1:6" x14ac:dyDescent="0.2">
      <c r="A33" s="1" t="s">
        <v>549</v>
      </c>
      <c r="B33" s="390"/>
      <c r="C33" s="390"/>
      <c r="D33" s="390"/>
      <c r="E33" s="390"/>
      <c r="F33" s="390"/>
    </row>
    <row r="35" spans="1:6" ht="24" x14ac:dyDescent="0.3">
      <c r="A35" s="389" t="s">
        <v>551</v>
      </c>
      <c r="B35" s="388"/>
      <c r="C35" s="388"/>
      <c r="D35" s="388"/>
      <c r="E35" s="388"/>
      <c r="F35" s="388"/>
    </row>
    <row r="36" spans="1:6" x14ac:dyDescent="0.2">
      <c r="B36" s="124"/>
      <c r="C36" s="124"/>
      <c r="D36" s="64"/>
    </row>
    <row r="37" spans="1:6" x14ac:dyDescent="0.2">
      <c r="A37" s="814" t="s">
        <v>547</v>
      </c>
      <c r="B37" s="814"/>
      <c r="C37" s="814"/>
      <c r="D37" s="814"/>
      <c r="E37" s="814"/>
      <c r="F37" s="814"/>
    </row>
    <row r="38" spans="1:6" x14ac:dyDescent="0.2">
      <c r="A38" s="814"/>
      <c r="B38" s="814"/>
      <c r="C38" s="814"/>
      <c r="D38" s="814"/>
      <c r="E38" s="814"/>
      <c r="F38" s="814"/>
    </row>
    <row r="39" spans="1:6" x14ac:dyDescent="0.2">
      <c r="A39" s="814"/>
      <c r="B39" s="814"/>
      <c r="C39" s="814"/>
      <c r="D39" s="814"/>
      <c r="E39" s="814"/>
      <c r="F39" s="814"/>
    </row>
    <row r="40" spans="1:6" x14ac:dyDescent="0.2">
      <c r="A40" s="814"/>
      <c r="B40" s="814"/>
      <c r="C40" s="814"/>
      <c r="D40" s="814"/>
      <c r="E40" s="814"/>
      <c r="F40" s="814"/>
    </row>
    <row r="41" spans="1:6" x14ac:dyDescent="0.2">
      <c r="B41" s="124"/>
      <c r="C41" s="124"/>
      <c r="D41" s="64"/>
    </row>
    <row r="42" spans="1:6" x14ac:dyDescent="0.2">
      <c r="B42" s="391">
        <f>An_1</f>
        <v>2023</v>
      </c>
      <c r="C42" s="391">
        <f>+B42+1</f>
        <v>2024</v>
      </c>
      <c r="D42" s="391">
        <f t="shared" ref="D42" si="4">+C42+1</f>
        <v>2025</v>
      </c>
      <c r="E42" s="391">
        <f t="shared" ref="E42" si="5">+D42+1</f>
        <v>2026</v>
      </c>
      <c r="F42" s="391">
        <f t="shared" ref="F42" si="6">+E42+1</f>
        <v>2027</v>
      </c>
    </row>
    <row r="43" spans="1:6" x14ac:dyDescent="0.2">
      <c r="A43" s="1" t="s">
        <v>546</v>
      </c>
      <c r="B43" s="390"/>
      <c r="C43" s="390"/>
      <c r="D43" s="390"/>
      <c r="E43" s="390"/>
      <c r="F43" s="390"/>
    </row>
    <row r="44" spans="1:6" x14ac:dyDescent="0.2">
      <c r="A44" s="1" t="s">
        <v>548</v>
      </c>
      <c r="B44" s="390"/>
      <c r="C44" s="390"/>
      <c r="D44" s="390"/>
      <c r="E44" s="390"/>
      <c r="F44" s="390"/>
    </row>
    <row r="45" spans="1:6" x14ac:dyDescent="0.2">
      <c r="A45" s="1" t="s">
        <v>555</v>
      </c>
      <c r="B45" s="390"/>
      <c r="C45" s="390"/>
      <c r="D45" s="390"/>
      <c r="E45" s="390"/>
      <c r="F45" s="390"/>
    </row>
    <row r="46" spans="1:6" x14ac:dyDescent="0.2">
      <c r="A46" s="1" t="s">
        <v>549</v>
      </c>
      <c r="B46" s="390"/>
      <c r="C46" s="390"/>
      <c r="D46" s="390"/>
      <c r="E46" s="390"/>
      <c r="F46" s="390"/>
    </row>
    <row r="48" spans="1:6" ht="24" x14ac:dyDescent="0.3">
      <c r="A48" s="389" t="s">
        <v>552</v>
      </c>
      <c r="B48" s="388"/>
      <c r="C48" s="388"/>
      <c r="D48" s="388"/>
      <c r="E48" s="388"/>
      <c r="F48" s="388"/>
    </row>
    <row r="49" spans="1:6" x14ac:dyDescent="0.2">
      <c r="B49" s="124"/>
      <c r="C49" s="124"/>
      <c r="D49" s="64"/>
    </row>
    <row r="50" spans="1:6" x14ac:dyDescent="0.2">
      <c r="A50" s="814" t="s">
        <v>547</v>
      </c>
      <c r="B50" s="814"/>
      <c r="C50" s="814"/>
      <c r="D50" s="814"/>
      <c r="E50" s="814"/>
      <c r="F50" s="814"/>
    </row>
    <row r="51" spans="1:6" x14ac:dyDescent="0.2">
      <c r="A51" s="814"/>
      <c r="B51" s="814"/>
      <c r="C51" s="814"/>
      <c r="D51" s="814"/>
      <c r="E51" s="814"/>
      <c r="F51" s="814"/>
    </row>
    <row r="52" spans="1:6" x14ac:dyDescent="0.2">
      <c r="A52" s="814"/>
      <c r="B52" s="814"/>
      <c r="C52" s="814"/>
      <c r="D52" s="814"/>
      <c r="E52" s="814"/>
      <c r="F52" s="814"/>
    </row>
    <row r="53" spans="1:6" x14ac:dyDescent="0.2">
      <c r="A53" s="814"/>
      <c r="B53" s="814"/>
      <c r="C53" s="814"/>
      <c r="D53" s="814"/>
      <c r="E53" s="814"/>
      <c r="F53" s="814"/>
    </row>
    <row r="54" spans="1:6" x14ac:dyDescent="0.2">
      <c r="B54" s="124"/>
      <c r="C54" s="124"/>
      <c r="D54" s="64"/>
    </row>
    <row r="55" spans="1:6" x14ac:dyDescent="0.2">
      <c r="B55" s="391">
        <f>An_1</f>
        <v>2023</v>
      </c>
      <c r="C55" s="391">
        <f>+B55+1</f>
        <v>2024</v>
      </c>
      <c r="D55" s="391">
        <f t="shared" ref="D55" si="7">+C55+1</f>
        <v>2025</v>
      </c>
      <c r="E55" s="391">
        <f t="shared" ref="E55" si="8">+D55+1</f>
        <v>2026</v>
      </c>
      <c r="F55" s="391">
        <f t="shared" ref="F55" si="9">+E55+1</f>
        <v>2027</v>
      </c>
    </row>
    <row r="56" spans="1:6" x14ac:dyDescent="0.2">
      <c r="A56" s="1" t="s">
        <v>546</v>
      </c>
      <c r="B56" s="390"/>
      <c r="C56" s="390"/>
      <c r="D56" s="390"/>
      <c r="E56" s="390"/>
      <c r="F56" s="390"/>
    </row>
    <row r="57" spans="1:6" x14ac:dyDescent="0.2">
      <c r="A57" s="1" t="s">
        <v>548</v>
      </c>
      <c r="B57" s="390"/>
      <c r="C57" s="390"/>
      <c r="D57" s="390"/>
      <c r="E57" s="390"/>
      <c r="F57" s="390"/>
    </row>
    <row r="58" spans="1:6" x14ac:dyDescent="0.2">
      <c r="A58" s="1" t="s">
        <v>555</v>
      </c>
      <c r="B58" s="390"/>
      <c r="C58" s="390"/>
      <c r="D58" s="390"/>
      <c r="E58" s="390"/>
      <c r="F58" s="390"/>
    </row>
    <row r="59" spans="1:6" x14ac:dyDescent="0.2">
      <c r="A59" s="1" t="s">
        <v>549</v>
      </c>
      <c r="B59" s="390"/>
      <c r="C59" s="390"/>
      <c r="D59" s="390"/>
      <c r="E59" s="390"/>
      <c r="F59" s="390"/>
    </row>
    <row r="61" spans="1:6" ht="24" x14ac:dyDescent="0.3">
      <c r="A61" s="389" t="s">
        <v>553</v>
      </c>
      <c r="B61" s="388"/>
      <c r="C61" s="388"/>
      <c r="D61" s="388"/>
      <c r="E61" s="388"/>
      <c r="F61" s="388"/>
    </row>
    <row r="62" spans="1:6" x14ac:dyDescent="0.2">
      <c r="B62" s="124"/>
      <c r="C62" s="124"/>
      <c r="D62" s="64"/>
    </row>
    <row r="63" spans="1:6" x14ac:dyDescent="0.2">
      <c r="A63" s="814" t="s">
        <v>547</v>
      </c>
      <c r="B63" s="814"/>
      <c r="C63" s="814"/>
      <c r="D63" s="814"/>
      <c r="E63" s="814"/>
      <c r="F63" s="814"/>
    </row>
    <row r="64" spans="1:6" x14ac:dyDescent="0.2">
      <c r="A64" s="814"/>
      <c r="B64" s="814"/>
      <c r="C64" s="814"/>
      <c r="D64" s="814"/>
      <c r="E64" s="814"/>
      <c r="F64" s="814"/>
    </row>
    <row r="65" spans="1:6" x14ac:dyDescent="0.2">
      <c r="A65" s="814"/>
      <c r="B65" s="814"/>
      <c r="C65" s="814"/>
      <c r="D65" s="814"/>
      <c r="E65" s="814"/>
      <c r="F65" s="814"/>
    </row>
    <row r="66" spans="1:6" x14ac:dyDescent="0.2">
      <c r="A66" s="814"/>
      <c r="B66" s="814"/>
      <c r="C66" s="814"/>
      <c r="D66" s="814"/>
      <c r="E66" s="814"/>
      <c r="F66" s="814"/>
    </row>
    <row r="67" spans="1:6" x14ac:dyDescent="0.2">
      <c r="B67" s="124"/>
      <c r="C67" s="124"/>
      <c r="D67" s="64"/>
    </row>
    <row r="68" spans="1:6" x14ac:dyDescent="0.2">
      <c r="B68" s="391">
        <f>An_1</f>
        <v>2023</v>
      </c>
      <c r="C68" s="391">
        <f>+B68+1</f>
        <v>2024</v>
      </c>
      <c r="D68" s="391">
        <f t="shared" ref="D68" si="10">+C68+1</f>
        <v>2025</v>
      </c>
      <c r="E68" s="391">
        <f t="shared" ref="E68" si="11">+D68+1</f>
        <v>2026</v>
      </c>
      <c r="F68" s="391">
        <f t="shared" ref="F68" si="12">+E68+1</f>
        <v>2027</v>
      </c>
    </row>
    <row r="69" spans="1:6" x14ac:dyDescent="0.2">
      <c r="A69" s="1" t="s">
        <v>546</v>
      </c>
      <c r="B69" s="390"/>
      <c r="C69" s="390"/>
      <c r="D69" s="390"/>
      <c r="E69" s="390"/>
      <c r="F69" s="390"/>
    </row>
    <row r="70" spans="1:6" x14ac:dyDescent="0.2">
      <c r="A70" s="1" t="s">
        <v>548</v>
      </c>
      <c r="B70" s="390"/>
      <c r="C70" s="390"/>
      <c r="D70" s="390"/>
      <c r="E70" s="390"/>
      <c r="F70" s="390"/>
    </row>
    <row r="71" spans="1:6" x14ac:dyDescent="0.2">
      <c r="A71" s="1" t="s">
        <v>555</v>
      </c>
      <c r="B71" s="390"/>
      <c r="C71" s="390"/>
      <c r="D71" s="390"/>
      <c r="E71" s="390"/>
      <c r="F71" s="390"/>
    </row>
    <row r="72" spans="1:6" x14ac:dyDescent="0.2">
      <c r="A72" s="1" t="s">
        <v>549</v>
      </c>
      <c r="B72" s="390"/>
      <c r="C72" s="390"/>
      <c r="D72" s="390"/>
      <c r="E72" s="390"/>
      <c r="F72" s="390"/>
    </row>
  </sheetData>
  <mergeCells count="8">
    <mergeCell ref="A37:F40"/>
    <mergeCell ref="A50:F53"/>
    <mergeCell ref="A63:F66"/>
    <mergeCell ref="C2:F2"/>
    <mergeCell ref="A7:C7"/>
    <mergeCell ref="D7:F7"/>
    <mergeCell ref="A11:F14"/>
    <mergeCell ref="A24:F27"/>
  </mergeCells>
  <printOptions horizontalCentered="1" verticalCentered="1"/>
  <pageMargins left="0.70866141732283472" right="0.70866141732283472" top="0.74803149606299213" bottom="0.74803149606299213" header="0.31496062992125984" footer="0.31496062992125984"/>
  <pageSetup paperSize="9" scale="65" orientation="portrait" horizontalDpi="1200" verticalDpi="1200" r:id="rId1"/>
  <headerFooter>
    <oddFooter>&amp;LCHU REUNION&amp;C&amp;A
&amp;P/&amp;N&amp;R&amp;F</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0000000}">
          <x14:formula1>
            <xm:f>'Listes déroulantes'!$F$2:$F$4</xm:f>
          </x14:formula1>
          <xm:sqref>B19:F19 B32:F32 B45:F45 B58:F58 B71:F71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5">
    <tabColor rgb="FFFF66FF"/>
    <pageSetUpPr fitToPage="1"/>
  </sheetPr>
  <dimension ref="A1"/>
  <sheetViews>
    <sheetView workbookViewId="0"/>
  </sheetViews>
  <sheetFormatPr baseColWidth="10" defaultRowHeight="15" x14ac:dyDescent="0.2"/>
  <sheetData/>
  <printOptions horizontalCentered="1" verticalCentered="1"/>
  <pageMargins left="0.70866141732283472" right="0.70866141732283472" top="0.74803149606299213" bottom="0.74803149606299213" header="0.31496062992125984" footer="0.31496062992125984"/>
  <pageSetup paperSize="9" scale="87" orientation="landscape" horizontalDpi="1200" verticalDpi="1200" r:id="rId1"/>
  <headerFooter>
    <oddFooter>&amp;LCHU BREST&amp;C&amp;A
&amp;P/&amp;N&amp;R&amp;F</oddFooter>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pageSetUpPr fitToPage="1"/>
  </sheetPr>
  <dimension ref="A2:Q43"/>
  <sheetViews>
    <sheetView workbookViewId="0"/>
  </sheetViews>
  <sheetFormatPr baseColWidth="10" defaultRowHeight="15" x14ac:dyDescent="0.2"/>
  <cols>
    <col min="2" max="2" width="27.5" bestFit="1" customWidth="1"/>
    <col min="3" max="3" width="4" bestFit="1" customWidth="1"/>
    <col min="4" max="4" width="16" customWidth="1"/>
    <col min="5" max="5" width="2.6640625" customWidth="1"/>
    <col min="6" max="6" width="12.6640625" customWidth="1"/>
    <col min="7" max="7" width="2.6640625" customWidth="1"/>
    <col min="8" max="9" width="12.6640625" customWidth="1"/>
    <col min="11" max="11" width="36.5" customWidth="1"/>
  </cols>
  <sheetData>
    <row r="2" spans="2:17" x14ac:dyDescent="0.2">
      <c r="Q2" t="s">
        <v>857</v>
      </c>
    </row>
    <row r="3" spans="2:17" x14ac:dyDescent="0.2">
      <c r="Q3" t="s">
        <v>858</v>
      </c>
    </row>
    <row r="5" spans="2:17" x14ac:dyDescent="0.2">
      <c r="C5" s="820" t="s">
        <v>828</v>
      </c>
      <c r="D5" s="820"/>
      <c r="F5" s="610"/>
      <c r="H5" s="819" t="s">
        <v>809</v>
      </c>
      <c r="I5" s="819"/>
    </row>
    <row r="6" spans="2:17" ht="29" customHeight="1" x14ac:dyDescent="0.2">
      <c r="C6" s="821" t="s">
        <v>1196</v>
      </c>
      <c r="D6" s="821"/>
      <c r="F6" s="611"/>
      <c r="H6" s="822" t="s">
        <v>1197</v>
      </c>
      <c r="I6" s="822"/>
      <c r="K6" s="600" t="s">
        <v>699</v>
      </c>
    </row>
    <row r="7" spans="2:17" x14ac:dyDescent="0.2">
      <c r="B7" s="581" t="s">
        <v>859</v>
      </c>
      <c r="D7" t="s">
        <v>873</v>
      </c>
      <c r="F7" s="580">
        <f>'2.1 INVEST'!E17</f>
        <v>369362</v>
      </c>
      <c r="I7" s="580">
        <f>'2.1 INVEST'!E17</f>
        <v>369362</v>
      </c>
    </row>
    <row r="8" spans="2:17" x14ac:dyDescent="0.2">
      <c r="B8" s="124"/>
    </row>
    <row r="9" spans="2:17" x14ac:dyDescent="0.2">
      <c r="B9" s="581" t="s">
        <v>808</v>
      </c>
      <c r="F9" s="579">
        <f>F11+F15+F20++F22</f>
        <v>1009991.4199999999</v>
      </c>
      <c r="I9" s="579">
        <f>I11+I15+I20++I22</f>
        <v>620913.32000000007</v>
      </c>
    </row>
    <row r="10" spans="2:17" x14ac:dyDescent="0.2">
      <c r="B10" s="124"/>
      <c r="F10" s="579"/>
      <c r="I10" s="579"/>
    </row>
    <row r="11" spans="2:17" x14ac:dyDescent="0.2">
      <c r="B11" s="600" t="s">
        <v>872</v>
      </c>
      <c r="D11" s="575">
        <v>0</v>
      </c>
      <c r="E11" s="575"/>
      <c r="F11" s="602">
        <f>F12+F13+F14</f>
        <v>418000</v>
      </c>
      <c r="G11" s="584"/>
      <c r="H11" s="124"/>
      <c r="I11" s="602">
        <f>I12+I13+I14</f>
        <v>418000</v>
      </c>
    </row>
    <row r="12" spans="2:17" x14ac:dyDescent="0.2">
      <c r="D12" s="575">
        <v>0</v>
      </c>
      <c r="E12" s="575"/>
      <c r="F12" s="576">
        <f>4*67000</f>
        <v>268000</v>
      </c>
      <c r="G12" s="575"/>
      <c r="H12" t="s">
        <v>865</v>
      </c>
      <c r="I12" s="576">
        <f>4*67000</f>
        <v>268000</v>
      </c>
    </row>
    <row r="13" spans="2:17" x14ac:dyDescent="0.2">
      <c r="F13" s="576">
        <v>150000</v>
      </c>
      <c r="H13" t="s">
        <v>853</v>
      </c>
      <c r="I13" s="576">
        <v>150000</v>
      </c>
    </row>
    <row r="14" spans="2:17" x14ac:dyDescent="0.2">
      <c r="F14" s="576"/>
      <c r="H14" t="s">
        <v>871</v>
      </c>
      <c r="I14">
        <v>0</v>
      </c>
    </row>
    <row r="15" spans="2:17" x14ac:dyDescent="0.2">
      <c r="B15" s="600" t="s">
        <v>866</v>
      </c>
      <c r="D15" s="603">
        <f>SUM(D16:D19)</f>
        <v>2532322.7999999998</v>
      </c>
      <c r="E15" s="604"/>
      <c r="F15" s="603">
        <f>SUM(F16:F19)</f>
        <v>539433.41999999993</v>
      </c>
      <c r="G15" s="604"/>
      <c r="H15" s="215"/>
      <c r="I15" s="603">
        <f>SUM(I16:I19)</f>
        <v>150355.32</v>
      </c>
    </row>
    <row r="16" spans="2:17" x14ac:dyDescent="0.2">
      <c r="B16" t="s">
        <v>854</v>
      </c>
      <c r="C16" s="574"/>
      <c r="D16" s="577">
        <f>D37+D38+D40+D41+D42</f>
        <v>2532322.7999999998</v>
      </c>
      <c r="E16" s="574"/>
      <c r="F16" s="576">
        <v>0</v>
      </c>
      <c r="G16" s="574"/>
      <c r="I16" s="576">
        <v>0</v>
      </c>
      <c r="K16" s="599"/>
    </row>
    <row r="17" spans="2:12" x14ac:dyDescent="0.2">
      <c r="B17" t="s">
        <v>855</v>
      </c>
      <c r="D17" s="575">
        <v>0</v>
      </c>
      <c r="E17" s="575"/>
      <c r="F17">
        <v>0</v>
      </c>
      <c r="G17" s="575"/>
      <c r="I17" s="578">
        <v>0</v>
      </c>
      <c r="K17" s="599"/>
    </row>
    <row r="18" spans="2:12" x14ac:dyDescent="0.2">
      <c r="B18" t="s">
        <v>856</v>
      </c>
      <c r="D18" s="575">
        <v>0</v>
      </c>
      <c r="E18" s="575"/>
      <c r="F18" s="577">
        <v>537404.69999999995</v>
      </c>
      <c r="G18" s="575"/>
      <c r="I18" s="578">
        <f>'NGS commercial bioinfo external'!G9+'NGS commercial bioinfo external'!G14+'NGS commercial bioinfo external'!G25+'NGS commercial bioinfo external'!G28+'NGS commercial bioinfo external'!G31</f>
        <v>148326.6</v>
      </c>
      <c r="K18" t="s">
        <v>1219</v>
      </c>
      <c r="L18" s="571"/>
    </row>
    <row r="19" spans="2:12" x14ac:dyDescent="0.2">
      <c r="B19" t="s">
        <v>861</v>
      </c>
      <c r="D19" s="575">
        <v>0</v>
      </c>
      <c r="E19" s="575"/>
      <c r="F19" s="577">
        <f>'NGS maison bioinfo local'!G30</f>
        <v>2028.72</v>
      </c>
      <c r="G19" s="575"/>
      <c r="I19" s="578">
        <f>'NGS commercial bioinfo external'!G16</f>
        <v>2028.72</v>
      </c>
      <c r="K19" t="s">
        <v>1221</v>
      </c>
    </row>
    <row r="20" spans="2:12" x14ac:dyDescent="0.2">
      <c r="B20" s="600" t="s">
        <v>1198</v>
      </c>
      <c r="D20" s="583">
        <f>SUM(D21:D21)</f>
        <v>0</v>
      </c>
      <c r="E20" s="583"/>
      <c r="F20" s="603">
        <f>SUM(F21:F21)</f>
        <v>1050</v>
      </c>
      <c r="G20" s="604"/>
      <c r="H20" s="215"/>
      <c r="I20" s="603">
        <f>SUM(I21:I21)</f>
        <v>1050</v>
      </c>
      <c r="K20" t="s">
        <v>1223</v>
      </c>
    </row>
    <row r="21" spans="2:12" x14ac:dyDescent="0.2">
      <c r="B21" t="s">
        <v>862</v>
      </c>
      <c r="D21" s="575">
        <v>0</v>
      </c>
      <c r="E21" s="575"/>
      <c r="F21" s="576">
        <v>1050</v>
      </c>
      <c r="G21" s="575"/>
      <c r="I21" s="576">
        <v>1050</v>
      </c>
    </row>
    <row r="22" spans="2:12" x14ac:dyDescent="0.2">
      <c r="B22" s="600" t="s">
        <v>860</v>
      </c>
      <c r="D22" s="584">
        <f>SUM(D23:D25)</f>
        <v>0</v>
      </c>
      <c r="E22" s="584"/>
      <c r="F22" s="603">
        <f>SUM(F23:F25)</f>
        <v>51508</v>
      </c>
      <c r="G22" s="605"/>
      <c r="H22" s="215"/>
      <c r="I22" s="603">
        <f>SUM(I23:I25)</f>
        <v>51508</v>
      </c>
    </row>
    <row r="23" spans="2:12" x14ac:dyDescent="0.2">
      <c r="B23" t="s">
        <v>190</v>
      </c>
      <c r="D23" s="575">
        <v>0</v>
      </c>
      <c r="E23" s="575"/>
      <c r="F23" s="576">
        <f>'2.1 INVEST'!F34</f>
        <v>44508</v>
      </c>
      <c r="G23" s="575"/>
      <c r="I23" s="577">
        <f>F23</f>
        <v>44508</v>
      </c>
    </row>
    <row r="24" spans="2:12" x14ac:dyDescent="0.2">
      <c r="B24" t="s">
        <v>867</v>
      </c>
      <c r="D24" s="575">
        <v>0</v>
      </c>
      <c r="E24" s="575"/>
      <c r="F24" s="576">
        <v>7000</v>
      </c>
      <c r="G24" s="575"/>
      <c r="I24" s="577">
        <f>F24</f>
        <v>7000</v>
      </c>
    </row>
    <row r="25" spans="2:12" x14ac:dyDescent="0.2">
      <c r="B25" t="s">
        <v>868</v>
      </c>
      <c r="D25" s="575">
        <v>0</v>
      </c>
      <c r="E25" s="575"/>
      <c r="F25" s="576">
        <f>'2.1 INVEST'!E61/5</f>
        <v>0</v>
      </c>
      <c r="G25" s="575"/>
      <c r="I25" s="577">
        <f>F25</f>
        <v>0</v>
      </c>
    </row>
    <row r="27" spans="2:12" x14ac:dyDescent="0.2">
      <c r="B27" s="582" t="s">
        <v>810</v>
      </c>
      <c r="D27" s="579">
        <f>0.5*D36</f>
        <v>1638153.9</v>
      </c>
      <c r="E27" s="124"/>
      <c r="F27" s="579" t="e">
        <f>0.5*F36</f>
        <v>#REF!</v>
      </c>
      <c r="G27" s="124"/>
      <c r="H27" s="124"/>
      <c r="I27" s="579" t="e">
        <f>0.5*I36</f>
        <v>#REF!</v>
      </c>
      <c r="J27" s="124"/>
    </row>
    <row r="29" spans="2:12" x14ac:dyDescent="0.2">
      <c r="B29" s="606" t="s">
        <v>869</v>
      </c>
      <c r="F29" s="601" t="e">
        <f>F36</f>
        <v>#REF!</v>
      </c>
      <c r="G29" s="606"/>
      <c r="H29" s="606"/>
      <c r="I29" s="601" t="e">
        <f>I36</f>
        <v>#REF!</v>
      </c>
    </row>
    <row r="30" spans="2:12" x14ac:dyDescent="0.2">
      <c r="B30" s="606" t="s">
        <v>1201</v>
      </c>
      <c r="C30" s="606"/>
      <c r="D30" s="606"/>
      <c r="E30" s="606"/>
      <c r="F30" s="601" t="e">
        <f>F9-F29</f>
        <v>#REF!</v>
      </c>
      <c r="G30" s="606"/>
      <c r="H30" s="606"/>
      <c r="I30" s="601" t="e">
        <f>I9-I29</f>
        <v>#REF!</v>
      </c>
      <c r="K30" t="s">
        <v>1202</v>
      </c>
    </row>
    <row r="31" spans="2:12" x14ac:dyDescent="0.2">
      <c r="B31" s="606"/>
      <c r="C31" s="606"/>
      <c r="D31" s="606"/>
      <c r="E31" s="606"/>
      <c r="F31" s="601" t="e">
        <f>D16+F30</f>
        <v>#REF!</v>
      </c>
      <c r="G31" s="606"/>
      <c r="H31" s="606"/>
      <c r="I31" s="601" t="e">
        <f>D15+I30</f>
        <v>#REF!</v>
      </c>
    </row>
    <row r="32" spans="2:12" x14ac:dyDescent="0.2">
      <c r="B32" s="606" t="s">
        <v>870</v>
      </c>
      <c r="C32" s="606"/>
      <c r="D32" s="606"/>
      <c r="E32" s="606"/>
      <c r="F32" s="601" t="e">
        <f>F27-F9</f>
        <v>#REF!</v>
      </c>
      <c r="G32" s="606"/>
      <c r="H32" s="606"/>
      <c r="I32" s="601" t="e">
        <f>I27-I9</f>
        <v>#REF!</v>
      </c>
    </row>
    <row r="35" spans="1:9" x14ac:dyDescent="0.2">
      <c r="B35" s="582" t="s">
        <v>1199</v>
      </c>
    </row>
    <row r="36" spans="1:9" x14ac:dyDescent="0.2">
      <c r="B36" s="571" t="s">
        <v>811</v>
      </c>
      <c r="C36" t="s">
        <v>1200</v>
      </c>
      <c r="D36" s="574">
        <f>SUM(D37:D42)</f>
        <v>3276307.8</v>
      </c>
      <c r="E36" s="574"/>
      <c r="F36" s="577" t="e">
        <f>SUM(F37:F42)</f>
        <v>#REF!</v>
      </c>
      <c r="G36" s="574"/>
      <c r="H36" t="s">
        <v>1200</v>
      </c>
      <c r="I36" s="577" t="e">
        <f>SUM(I37:I42)</f>
        <v>#REF!</v>
      </c>
    </row>
    <row r="37" spans="1:9" x14ac:dyDescent="0.2">
      <c r="A37">
        <v>207.9</v>
      </c>
      <c r="B37" s="571" t="s">
        <v>761</v>
      </c>
      <c r="C37">
        <f>'2.2 ACTIVITE RECETTES'!Q36</f>
        <v>70</v>
      </c>
      <c r="D37" s="574">
        <f>C37*'2.2 ACTIVITE RECETTES'!O46</f>
        <v>14553</v>
      </c>
      <c r="E37" s="574"/>
      <c r="F37" s="577" t="e">
        <f>#REF!*'2.2 ACTIVITE RECETTES'!O46</f>
        <v>#REF!</v>
      </c>
      <c r="G37" s="574"/>
      <c r="H37">
        <v>70</v>
      </c>
      <c r="I37" s="577" t="e">
        <f>F37</f>
        <v>#REF!</v>
      </c>
    </row>
    <row r="38" spans="1:9" x14ac:dyDescent="0.2">
      <c r="A38">
        <v>882.9</v>
      </c>
      <c r="B38" s="571" t="s">
        <v>745</v>
      </c>
      <c r="C38">
        <f>'2.2 ACTIVITE RECETTES'!Q37</f>
        <v>226</v>
      </c>
      <c r="D38" s="574">
        <f>C38*'2.2 ACTIVITE RECETTES'!O47</f>
        <v>199535.4</v>
      </c>
      <c r="E38" s="574"/>
      <c r="F38" s="577" t="e">
        <f>#REF!*'2.2 ACTIVITE RECETTES'!O47</f>
        <v>#REF!</v>
      </c>
      <c r="G38" s="574"/>
      <c r="H38">
        <v>19</v>
      </c>
      <c r="I38" s="577" t="e">
        <f>F38</f>
        <v>#REF!</v>
      </c>
    </row>
    <row r="39" spans="1:9" x14ac:dyDescent="0.2">
      <c r="B39" s="571" t="s">
        <v>1145</v>
      </c>
      <c r="C39">
        <f>'2.2 ACTIVITE RECETTES'!Q38</f>
        <v>495</v>
      </c>
      <c r="D39" s="574">
        <f>C39*'2.2 ACTIVITE RECETTES'!O48</f>
        <v>743985</v>
      </c>
      <c r="E39" s="574"/>
      <c r="F39" s="577"/>
      <c r="G39" s="574"/>
      <c r="I39" s="577"/>
    </row>
    <row r="40" spans="1:9" x14ac:dyDescent="0.2">
      <c r="A40">
        <v>2205.9</v>
      </c>
      <c r="B40" s="571" t="s">
        <v>739</v>
      </c>
      <c r="C40">
        <f>'2.2 ACTIVITE RECETTES'!Q39</f>
        <v>1016</v>
      </c>
      <c r="D40" s="574">
        <f>C40*'2.2 ACTIVITE RECETTES'!O49</f>
        <v>2241194.4</v>
      </c>
      <c r="E40" s="574"/>
      <c r="F40" s="577" t="e">
        <f>#REF!*'2.2 ACTIVITE RECETTES'!O49</f>
        <v>#REF!</v>
      </c>
      <c r="G40" s="574"/>
      <c r="H40">
        <v>316</v>
      </c>
      <c r="I40" s="577" t="e">
        <f>F40</f>
        <v>#REF!</v>
      </c>
    </row>
    <row r="41" spans="1:9" x14ac:dyDescent="0.2">
      <c r="A41">
        <v>373</v>
      </c>
      <c r="B41" s="571" t="s">
        <v>795</v>
      </c>
      <c r="C41">
        <f>'2.2 ACTIVITE RECETTES'!Q40</f>
        <v>90</v>
      </c>
      <c r="D41" s="574">
        <f>C41*'2.2 ACTIVITE RECETTES'!O50</f>
        <v>33570</v>
      </c>
      <c r="E41" s="574"/>
      <c r="F41" s="577" t="e">
        <f>#REF!*'2.2 ACTIVITE RECETTES'!O50*3</f>
        <v>#REF!</v>
      </c>
      <c r="G41" s="574"/>
      <c r="H41">
        <v>90</v>
      </c>
      <c r="I41" s="577" t="e">
        <f>F41</f>
        <v>#REF!</v>
      </c>
    </row>
    <row r="42" spans="1:9" x14ac:dyDescent="0.2">
      <c r="A42">
        <v>621</v>
      </c>
      <c r="B42" s="571" t="s">
        <v>796</v>
      </c>
      <c r="C42">
        <f>'2.2 ACTIVITE RECETTES'!Q41</f>
        <v>70</v>
      </c>
      <c r="D42" s="574">
        <f>C42*'2.2 ACTIVITE RECETTES'!O51</f>
        <v>43470</v>
      </c>
      <c r="E42" s="574"/>
      <c r="F42" s="577" t="e">
        <f>#REF!*'2.2 ACTIVITE RECETTES'!O51*5</f>
        <v>#REF!</v>
      </c>
      <c r="G42" s="574"/>
      <c r="H42">
        <v>70</v>
      </c>
      <c r="I42" s="577" t="e">
        <f>F42</f>
        <v>#REF!</v>
      </c>
    </row>
    <row r="43" spans="1:9" x14ac:dyDescent="0.2">
      <c r="B43" s="571" t="s">
        <v>1222</v>
      </c>
    </row>
  </sheetData>
  <mergeCells count="4">
    <mergeCell ref="H5:I5"/>
    <mergeCell ref="C5:D5"/>
    <mergeCell ref="C6:D6"/>
    <mergeCell ref="H6:I6"/>
  </mergeCells>
  <pageMargins left="0.70866141732283472" right="0.70866141732283472" top="0.74803149606299213" bottom="0.74803149606299213" header="0.31496062992125984" footer="0.31496062992125984"/>
  <pageSetup paperSize="9" scale="76" orientation="landscape"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theme="5" tint="0.59999389629810485"/>
    <pageSetUpPr fitToPage="1"/>
  </sheetPr>
  <dimension ref="A1:T241"/>
  <sheetViews>
    <sheetView topLeftCell="A51" zoomScale="50" zoomScaleNormal="50" workbookViewId="0">
      <selection activeCell="G67" sqref="G67"/>
    </sheetView>
  </sheetViews>
  <sheetFormatPr baseColWidth="10" defaultColWidth="10.83203125" defaultRowHeight="25" x14ac:dyDescent="0.25"/>
  <cols>
    <col min="1" max="1" width="79.5" style="612" customWidth="1"/>
    <col min="2" max="2" width="24.5" style="612" customWidth="1"/>
    <col min="3" max="3" width="10.83203125" style="612"/>
    <col min="4" max="4" width="66" style="612" customWidth="1"/>
    <col min="5" max="5" width="25.33203125" style="612" bestFit="1" customWidth="1"/>
    <col min="6" max="6" width="23" style="612" bestFit="1" customWidth="1"/>
    <col min="7" max="7" width="38" style="612" customWidth="1"/>
    <col min="8" max="9" width="10.83203125" style="612"/>
    <col min="10" max="10" width="59.83203125" style="612" customWidth="1"/>
    <col min="11" max="11" width="37.83203125" style="612" customWidth="1"/>
    <col min="12" max="12" width="40.5" style="612" customWidth="1"/>
    <col min="13" max="16384" width="10.83203125" style="612"/>
  </cols>
  <sheetData>
    <row r="1" spans="1:20" ht="50" customHeight="1" x14ac:dyDescent="0.25">
      <c r="J1" s="612" t="s">
        <v>1311</v>
      </c>
    </row>
    <row r="2" spans="1:20" ht="50" customHeight="1" x14ac:dyDescent="0.25">
      <c r="B2" s="824" t="s">
        <v>1235</v>
      </c>
      <c r="C2" s="824"/>
      <c r="D2" s="824"/>
      <c r="E2" s="824"/>
    </row>
    <row r="3" spans="1:20" ht="50" customHeight="1" x14ac:dyDescent="0.25">
      <c r="B3" s="613" t="s">
        <v>721</v>
      </c>
      <c r="C3" s="825" t="s">
        <v>722</v>
      </c>
      <c r="D3" s="825"/>
      <c r="E3" s="613" t="s">
        <v>1236</v>
      </c>
      <c r="F3" s="613" t="s">
        <v>724</v>
      </c>
      <c r="G3" s="613" t="s">
        <v>725</v>
      </c>
      <c r="H3" s="613"/>
      <c r="I3" s="613"/>
      <c r="J3" s="613" t="s">
        <v>726</v>
      </c>
      <c r="K3" s="613" t="s">
        <v>1237</v>
      </c>
      <c r="L3" s="613" t="s">
        <v>728</v>
      </c>
    </row>
    <row r="4" spans="1:20" ht="50" customHeight="1" x14ac:dyDescent="0.25">
      <c r="A4" s="614" t="s">
        <v>729</v>
      </c>
      <c r="B4" s="615">
        <v>308</v>
      </c>
      <c r="C4" s="826">
        <v>6.42</v>
      </c>
      <c r="D4" s="826"/>
    </row>
    <row r="5" spans="1:20" ht="50" customHeight="1" x14ac:dyDescent="0.25">
      <c r="A5" s="614" t="s">
        <v>730</v>
      </c>
      <c r="B5" s="615">
        <v>326</v>
      </c>
      <c r="C5" s="826">
        <v>6.79</v>
      </c>
      <c r="D5" s="826"/>
    </row>
    <row r="6" spans="1:20" ht="50" customHeight="1" x14ac:dyDescent="0.25"/>
    <row r="7" spans="1:20" ht="50" customHeight="1" x14ac:dyDescent="0.25">
      <c r="A7" s="616" t="s">
        <v>782</v>
      </c>
      <c r="B7" s="617"/>
      <c r="C7" s="617"/>
      <c r="D7" s="617"/>
      <c r="E7" s="617"/>
      <c r="F7" s="617"/>
      <c r="G7" s="618"/>
    </row>
    <row r="8" spans="1:20" ht="50" customHeight="1" x14ac:dyDescent="0.25">
      <c r="A8" s="619" t="s">
        <v>783</v>
      </c>
      <c r="B8" s="615" t="s">
        <v>784</v>
      </c>
      <c r="C8" s="615">
        <v>396</v>
      </c>
      <c r="D8" s="620" t="s">
        <v>1238</v>
      </c>
      <c r="G8" s="635">
        <f>C8*$F$12</f>
        <v>99000</v>
      </c>
    </row>
    <row r="9" spans="1:20" ht="50" customHeight="1" x14ac:dyDescent="0.25">
      <c r="A9" s="619" t="s">
        <v>785</v>
      </c>
      <c r="B9" s="615">
        <v>1332.7</v>
      </c>
      <c r="C9" s="615">
        <v>111</v>
      </c>
      <c r="G9" s="635">
        <f t="shared" ref="G9:G11" si="0">C9*$F$12</f>
        <v>27750</v>
      </c>
      <c r="J9" s="612" t="s">
        <v>1270</v>
      </c>
      <c r="K9" s="612" t="s">
        <v>1271</v>
      </c>
    </row>
    <row r="10" spans="1:20" ht="50" customHeight="1" x14ac:dyDescent="0.25">
      <c r="A10" s="619" t="s">
        <v>1239</v>
      </c>
      <c r="B10" s="615"/>
      <c r="C10" s="615">
        <v>258</v>
      </c>
      <c r="D10" s="621" t="s">
        <v>1240</v>
      </c>
      <c r="G10" s="634">
        <f t="shared" si="0"/>
        <v>64500</v>
      </c>
      <c r="J10" s="612">
        <f>C8+C9</f>
        <v>507</v>
      </c>
      <c r="K10" s="612">
        <f>J10*F12</f>
        <v>126750</v>
      </c>
    </row>
    <row r="11" spans="1:20" ht="50" customHeight="1" x14ac:dyDescent="0.25">
      <c r="A11" s="619" t="s">
        <v>1272</v>
      </c>
      <c r="B11" s="615"/>
      <c r="C11" s="615">
        <v>59</v>
      </c>
      <c r="D11" s="621" t="s">
        <v>1242</v>
      </c>
      <c r="G11" s="634">
        <f t="shared" si="0"/>
        <v>14750</v>
      </c>
      <c r="M11" s="827" t="s">
        <v>1243</v>
      </c>
      <c r="N11" s="827"/>
      <c r="O11" s="827"/>
      <c r="P11" s="827"/>
      <c r="Q11" s="823" t="s">
        <v>1244</v>
      </c>
      <c r="R11" s="823"/>
      <c r="S11" s="823"/>
      <c r="T11" s="823"/>
    </row>
    <row r="12" spans="1:20" ht="50" customHeight="1" x14ac:dyDescent="0.25">
      <c r="A12" s="622"/>
      <c r="B12" s="623"/>
      <c r="C12" s="624"/>
      <c r="D12" s="625" t="s">
        <v>1245</v>
      </c>
      <c r="E12" s="626">
        <f>SUM(C8:C11)</f>
        <v>824</v>
      </c>
      <c r="F12" s="678">
        <v>250</v>
      </c>
      <c r="G12" s="628">
        <f>E12*F12</f>
        <v>206000</v>
      </c>
      <c r="H12" s="615"/>
      <c r="I12" s="615"/>
      <c r="J12" s="615" t="s">
        <v>739</v>
      </c>
      <c r="K12" s="615">
        <v>2205.9</v>
      </c>
      <c r="L12" s="615">
        <f>K12*F12</f>
        <v>551475</v>
      </c>
      <c r="M12" s="826">
        <f>L12/2</f>
        <v>275737.5</v>
      </c>
      <c r="N12" s="826"/>
      <c r="O12" s="826"/>
      <c r="P12" s="826"/>
      <c r="Q12" s="826">
        <f>M12-G12</f>
        <v>69737.5</v>
      </c>
      <c r="R12" s="826"/>
      <c r="S12" s="826"/>
      <c r="T12" s="826"/>
    </row>
    <row r="13" spans="1:20" ht="50" customHeight="1" x14ac:dyDescent="0.25"/>
    <row r="14" spans="1:20" ht="50" customHeight="1" x14ac:dyDescent="0.25">
      <c r="A14" s="616" t="s">
        <v>782</v>
      </c>
      <c r="B14" s="617"/>
      <c r="C14" s="617"/>
      <c r="D14" s="617"/>
      <c r="E14" s="617"/>
      <c r="F14" s="617"/>
      <c r="G14" s="618"/>
    </row>
    <row r="15" spans="1:20" ht="50" customHeight="1" x14ac:dyDescent="0.25">
      <c r="A15" s="619" t="s">
        <v>783</v>
      </c>
      <c r="B15" s="615" t="s">
        <v>784</v>
      </c>
      <c r="C15" s="615">
        <v>396</v>
      </c>
      <c r="D15" s="620" t="s">
        <v>1238</v>
      </c>
      <c r="G15" s="635">
        <f>C15*$F$19</f>
        <v>45936</v>
      </c>
    </row>
    <row r="16" spans="1:20" ht="50" customHeight="1" x14ac:dyDescent="0.25">
      <c r="A16" s="619" t="s">
        <v>785</v>
      </c>
      <c r="B16" s="615">
        <v>1332.7</v>
      </c>
      <c r="C16" s="615">
        <v>111</v>
      </c>
      <c r="G16" s="635">
        <f t="shared" ref="G16:G18" si="1">C16*$F$19</f>
        <v>12876</v>
      </c>
      <c r="J16" s="612" t="s">
        <v>1270</v>
      </c>
      <c r="K16" s="612" t="s">
        <v>1271</v>
      </c>
    </row>
    <row r="17" spans="1:20" ht="50" customHeight="1" x14ac:dyDescent="0.25">
      <c r="A17" s="619" t="s">
        <v>1239</v>
      </c>
      <c r="B17" s="615"/>
      <c r="C17" s="615">
        <v>258</v>
      </c>
      <c r="D17" s="621" t="s">
        <v>1240</v>
      </c>
      <c r="G17" s="634">
        <f t="shared" si="1"/>
        <v>29928</v>
      </c>
      <c r="J17" s="612">
        <f>C15+C16</f>
        <v>507</v>
      </c>
      <c r="K17" s="612">
        <f>J17*F19</f>
        <v>58812</v>
      </c>
    </row>
    <row r="18" spans="1:20" ht="50" customHeight="1" x14ac:dyDescent="0.25">
      <c r="A18" s="619" t="s">
        <v>1272</v>
      </c>
      <c r="B18" s="615"/>
      <c r="C18" s="615">
        <v>59</v>
      </c>
      <c r="D18" s="621" t="s">
        <v>1242</v>
      </c>
      <c r="G18" s="634">
        <f t="shared" si="1"/>
        <v>6844</v>
      </c>
      <c r="M18" s="827" t="s">
        <v>1243</v>
      </c>
      <c r="N18" s="827"/>
      <c r="O18" s="827"/>
      <c r="P18" s="827"/>
      <c r="Q18" s="823" t="s">
        <v>1244</v>
      </c>
      <c r="R18" s="823"/>
      <c r="S18" s="823"/>
      <c r="T18" s="823"/>
    </row>
    <row r="19" spans="1:20" ht="50" customHeight="1" x14ac:dyDescent="0.25">
      <c r="A19" s="622"/>
      <c r="B19" s="623"/>
      <c r="C19" s="624"/>
      <c r="D19" s="625" t="s">
        <v>1245</v>
      </c>
      <c r="E19" s="626">
        <f>SUM(C15:C18)</f>
        <v>824</v>
      </c>
      <c r="F19" s="678">
        <v>116</v>
      </c>
      <c r="G19" s="628">
        <f>E19*F19</f>
        <v>95584</v>
      </c>
      <c r="J19" s="615" t="s">
        <v>739</v>
      </c>
      <c r="K19" s="615">
        <v>2205.9</v>
      </c>
      <c r="L19" s="615">
        <f>K19*F19</f>
        <v>255884.40000000002</v>
      </c>
      <c r="M19" s="826">
        <f>L19/2</f>
        <v>127942.20000000001</v>
      </c>
      <c r="N19" s="826"/>
      <c r="O19" s="826"/>
      <c r="P19" s="826"/>
      <c r="Q19" s="826">
        <f>M19-G19</f>
        <v>32358.200000000012</v>
      </c>
      <c r="R19" s="826"/>
      <c r="S19" s="826"/>
      <c r="T19" s="826"/>
    </row>
    <row r="20" spans="1:20" ht="50" customHeight="1" x14ac:dyDescent="0.25">
      <c r="C20" s="629"/>
      <c r="D20" s="630"/>
      <c r="E20" s="631"/>
      <c r="F20" s="615"/>
      <c r="G20" s="615"/>
      <c r="J20" s="615"/>
      <c r="K20" s="615"/>
      <c r="L20" s="615"/>
      <c r="M20" s="615"/>
      <c r="N20" s="615"/>
      <c r="O20" s="615"/>
      <c r="P20" s="615"/>
      <c r="Q20" s="615"/>
      <c r="R20" s="615"/>
      <c r="S20" s="615"/>
      <c r="T20" s="615"/>
    </row>
    <row r="21" spans="1:20" ht="50" customHeight="1" x14ac:dyDescent="0.25">
      <c r="B21" s="824" t="s">
        <v>1246</v>
      </c>
      <c r="C21" s="824"/>
      <c r="D21" s="824"/>
      <c r="E21" s="824"/>
      <c r="F21" s="615"/>
      <c r="G21" s="615"/>
      <c r="J21" s="615"/>
      <c r="K21" s="615"/>
      <c r="L21" s="615"/>
      <c r="M21" s="615"/>
      <c r="N21" s="615"/>
      <c r="O21" s="615"/>
      <c r="P21" s="615"/>
      <c r="Q21" s="615"/>
      <c r="R21" s="615"/>
      <c r="S21" s="615"/>
      <c r="T21" s="615"/>
    </row>
    <row r="22" spans="1:20" ht="50" customHeight="1" x14ac:dyDescent="0.25"/>
    <row r="23" spans="1:20" ht="50" customHeight="1" x14ac:dyDescent="0.25">
      <c r="A23" s="616" t="s">
        <v>1247</v>
      </c>
      <c r="B23" s="617"/>
      <c r="C23" s="617"/>
      <c r="D23" s="617"/>
      <c r="E23" s="617"/>
      <c r="F23" s="617"/>
      <c r="G23" s="618"/>
    </row>
    <row r="24" spans="1:20" ht="50" customHeight="1" x14ac:dyDescent="0.25">
      <c r="A24" s="619" t="s">
        <v>783</v>
      </c>
      <c r="B24" s="615" t="s">
        <v>784</v>
      </c>
      <c r="C24" s="615">
        <v>290</v>
      </c>
      <c r="D24" s="620" t="s">
        <v>1248</v>
      </c>
      <c r="G24" s="635">
        <f>C24*$F$28</f>
        <v>143550</v>
      </c>
    </row>
    <row r="25" spans="1:20" ht="50" customHeight="1" x14ac:dyDescent="0.25">
      <c r="A25" s="619" t="s">
        <v>1249</v>
      </c>
      <c r="B25" s="615">
        <v>1332.7</v>
      </c>
      <c r="C25" s="615">
        <v>55.5</v>
      </c>
      <c r="G25" s="635">
        <f t="shared" ref="G25:G27" si="2">C25*$F$28</f>
        <v>27472.5</v>
      </c>
      <c r="J25" s="612" t="s">
        <v>1270</v>
      </c>
      <c r="K25" s="612" t="s">
        <v>1271</v>
      </c>
    </row>
    <row r="26" spans="1:20" ht="50" customHeight="1" x14ac:dyDescent="0.25">
      <c r="A26" s="619" t="s">
        <v>1239</v>
      </c>
      <c r="B26" s="615"/>
      <c r="C26" s="615">
        <v>258</v>
      </c>
      <c r="D26" s="621" t="s">
        <v>1240</v>
      </c>
      <c r="G26" s="634">
        <f t="shared" si="2"/>
        <v>127710</v>
      </c>
      <c r="J26" s="612">
        <f>C24+C25</f>
        <v>345.5</v>
      </c>
      <c r="K26" s="612">
        <f>J26*F28</f>
        <v>171022.5</v>
      </c>
    </row>
    <row r="27" spans="1:20" ht="50" customHeight="1" x14ac:dyDescent="0.25">
      <c r="A27" s="619" t="s">
        <v>1272</v>
      </c>
      <c r="B27" s="615"/>
      <c r="C27" s="615">
        <v>59</v>
      </c>
      <c r="D27" s="621" t="s">
        <v>1242</v>
      </c>
      <c r="G27" s="634">
        <f t="shared" si="2"/>
        <v>29205</v>
      </c>
      <c r="M27" s="827" t="s">
        <v>1243</v>
      </c>
      <c r="N27" s="827"/>
      <c r="O27" s="827"/>
      <c r="P27" s="827"/>
      <c r="Q27" s="823" t="s">
        <v>1244</v>
      </c>
      <c r="R27" s="823"/>
      <c r="S27" s="823"/>
      <c r="T27" s="823"/>
    </row>
    <row r="28" spans="1:20" ht="50" customHeight="1" x14ac:dyDescent="0.25">
      <c r="A28" s="622"/>
      <c r="B28" s="623"/>
      <c r="C28" s="624"/>
      <c r="D28" s="625" t="s">
        <v>1250</v>
      </c>
      <c r="E28" s="626">
        <f>SUM(C24:C27)</f>
        <v>662.5</v>
      </c>
      <c r="F28" s="627">
        <v>495</v>
      </c>
      <c r="G28" s="628">
        <f>E28*F28</f>
        <v>327937.5</v>
      </c>
      <c r="J28" s="615" t="s">
        <v>1145</v>
      </c>
      <c r="K28" s="615">
        <v>1503</v>
      </c>
      <c r="L28" s="615">
        <f>K28*F28</f>
        <v>743985</v>
      </c>
      <c r="M28" s="826">
        <f>L28/2</f>
        <v>371992.5</v>
      </c>
      <c r="N28" s="826"/>
      <c r="O28" s="826"/>
      <c r="P28" s="826"/>
      <c r="Q28" s="826">
        <f>M28-G28</f>
        <v>44055</v>
      </c>
      <c r="R28" s="826"/>
      <c r="S28" s="826"/>
      <c r="T28" s="826"/>
    </row>
    <row r="29" spans="1:20" ht="50" customHeight="1" x14ac:dyDescent="0.25"/>
    <row r="30" spans="1:20" ht="50" customHeight="1" x14ac:dyDescent="0.25">
      <c r="A30" s="616" t="s">
        <v>1251</v>
      </c>
      <c r="B30" s="617"/>
      <c r="C30" s="617"/>
      <c r="D30" s="617"/>
      <c r="E30" s="617"/>
      <c r="F30" s="617"/>
      <c r="G30" s="618"/>
    </row>
    <row r="31" spans="1:20" ht="50" customHeight="1" x14ac:dyDescent="0.25">
      <c r="A31" s="619" t="s">
        <v>783</v>
      </c>
      <c r="B31" s="615" t="s">
        <v>784</v>
      </c>
      <c r="C31" s="615">
        <v>396</v>
      </c>
      <c r="D31" s="620" t="s">
        <v>1248</v>
      </c>
      <c r="G31" s="635">
        <f>C31*$F$35</f>
        <v>118800</v>
      </c>
    </row>
    <row r="32" spans="1:20" ht="50" customHeight="1" x14ac:dyDescent="0.25">
      <c r="A32" s="619" t="s">
        <v>1249</v>
      </c>
      <c r="B32" s="615">
        <v>1332.7</v>
      </c>
      <c r="C32" s="615">
        <v>55.5</v>
      </c>
      <c r="G32" s="635">
        <f t="shared" ref="G32:G34" si="3">C32*$F$35</f>
        <v>16650</v>
      </c>
      <c r="J32" s="612" t="s">
        <v>1270</v>
      </c>
      <c r="K32" s="612" t="s">
        <v>1271</v>
      </c>
    </row>
    <row r="33" spans="1:20" ht="50" customHeight="1" x14ac:dyDescent="0.25">
      <c r="A33" s="619" t="s">
        <v>1239</v>
      </c>
      <c r="B33" s="615"/>
      <c r="C33" s="615">
        <v>258</v>
      </c>
      <c r="D33" s="621" t="s">
        <v>1240</v>
      </c>
      <c r="G33" s="634">
        <f t="shared" si="3"/>
        <v>77400</v>
      </c>
      <c r="J33" s="612">
        <f>C31+C32</f>
        <v>451.5</v>
      </c>
      <c r="K33" s="612">
        <f>J33*F35</f>
        <v>135450</v>
      </c>
    </row>
    <row r="34" spans="1:20" ht="50" customHeight="1" x14ac:dyDescent="0.25">
      <c r="A34" s="619" t="s">
        <v>1272</v>
      </c>
      <c r="B34" s="615"/>
      <c r="C34" s="615">
        <v>59</v>
      </c>
      <c r="D34" s="621" t="s">
        <v>1242</v>
      </c>
      <c r="G34" s="634">
        <f t="shared" si="3"/>
        <v>17700</v>
      </c>
      <c r="M34" s="827" t="s">
        <v>1243</v>
      </c>
      <c r="N34" s="827"/>
      <c r="O34" s="827"/>
      <c r="P34" s="827"/>
      <c r="Q34" s="823" t="s">
        <v>1244</v>
      </c>
      <c r="R34" s="823"/>
      <c r="S34" s="823"/>
      <c r="T34" s="823"/>
    </row>
    <row r="35" spans="1:20" ht="50" customHeight="1" x14ac:dyDescent="0.25">
      <c r="A35" s="622"/>
      <c r="B35" s="623"/>
      <c r="C35" s="624"/>
      <c r="D35" s="625" t="s">
        <v>1252</v>
      </c>
      <c r="E35" s="626">
        <f>SUM(C31:C34)</f>
        <v>768.5</v>
      </c>
      <c r="F35" s="627">
        <v>300</v>
      </c>
      <c r="G35" s="628">
        <f>E35*F35</f>
        <v>230550</v>
      </c>
      <c r="J35" s="615" t="s">
        <v>739</v>
      </c>
      <c r="K35" s="615">
        <v>2205.9</v>
      </c>
      <c r="L35" s="615">
        <f>K35*F35</f>
        <v>661770</v>
      </c>
      <c r="M35" s="826">
        <f>L35/2</f>
        <v>330885</v>
      </c>
      <c r="N35" s="826"/>
      <c r="O35" s="826"/>
      <c r="P35" s="826"/>
      <c r="Q35" s="826">
        <f>M35-G35</f>
        <v>100335</v>
      </c>
      <c r="R35" s="826"/>
      <c r="S35" s="826"/>
      <c r="T35" s="826"/>
    </row>
    <row r="36" spans="1:20" ht="50" customHeight="1" x14ac:dyDescent="0.25"/>
    <row r="37" spans="1:20" ht="50" customHeight="1" x14ac:dyDescent="0.25">
      <c r="A37" s="616" t="s">
        <v>1253</v>
      </c>
      <c r="B37" s="617"/>
      <c r="C37" s="617"/>
      <c r="D37" s="617"/>
      <c r="E37" s="617"/>
      <c r="F37" s="617"/>
      <c r="G37" s="618"/>
    </row>
    <row r="38" spans="1:20" ht="50" customHeight="1" x14ac:dyDescent="0.25">
      <c r="A38" s="619" t="s">
        <v>783</v>
      </c>
      <c r="B38" s="615" t="s">
        <v>784</v>
      </c>
      <c r="C38" s="615">
        <v>240</v>
      </c>
      <c r="D38" s="620" t="s">
        <v>1248</v>
      </c>
      <c r="G38" s="635">
        <f>C38*$F$42</f>
        <v>54240</v>
      </c>
    </row>
    <row r="39" spans="1:20" ht="50" customHeight="1" x14ac:dyDescent="0.25">
      <c r="A39" s="619" t="s">
        <v>1254</v>
      </c>
      <c r="B39" s="615">
        <v>1332.7</v>
      </c>
      <c r="C39" s="615">
        <v>27.8</v>
      </c>
      <c r="G39" s="635">
        <f t="shared" ref="G39:G41" si="4">C39*$F$42</f>
        <v>6282.8</v>
      </c>
      <c r="J39" s="612" t="s">
        <v>1270</v>
      </c>
      <c r="K39" s="612" t="s">
        <v>1271</v>
      </c>
    </row>
    <row r="40" spans="1:20" ht="50" customHeight="1" x14ac:dyDescent="0.25">
      <c r="A40" s="619" t="s">
        <v>1239</v>
      </c>
      <c r="B40" s="615"/>
      <c r="C40" s="615">
        <v>258</v>
      </c>
      <c r="D40" s="621" t="s">
        <v>1240</v>
      </c>
      <c r="G40" s="634">
        <f t="shared" si="4"/>
        <v>58308</v>
      </c>
      <c r="J40" s="612">
        <f>C38+C39</f>
        <v>267.8</v>
      </c>
      <c r="K40" s="612">
        <f>J40*F42</f>
        <v>60522.8</v>
      </c>
    </row>
    <row r="41" spans="1:20" ht="50" customHeight="1" x14ac:dyDescent="0.25">
      <c r="A41" s="619" t="s">
        <v>1272</v>
      </c>
      <c r="B41" s="615"/>
      <c r="C41" s="615">
        <v>59</v>
      </c>
      <c r="D41" s="621" t="s">
        <v>1242</v>
      </c>
      <c r="G41" s="634">
        <f t="shared" si="4"/>
        <v>13334</v>
      </c>
      <c r="M41" s="827" t="s">
        <v>1243</v>
      </c>
      <c r="N41" s="827"/>
      <c r="O41" s="827"/>
      <c r="P41" s="827"/>
      <c r="Q41" s="823" t="s">
        <v>1244</v>
      </c>
      <c r="R41" s="823"/>
      <c r="S41" s="823"/>
      <c r="T41" s="823"/>
    </row>
    <row r="42" spans="1:20" ht="50" customHeight="1" x14ac:dyDescent="0.25">
      <c r="A42" s="622"/>
      <c r="B42" s="623"/>
      <c r="C42" s="624"/>
      <c r="D42" s="625" t="s">
        <v>1255</v>
      </c>
      <c r="E42" s="626">
        <f>SUM(C38:C41)</f>
        <v>584.79999999999995</v>
      </c>
      <c r="F42" s="627">
        <v>226</v>
      </c>
      <c r="G42" s="628">
        <f>E42*F42</f>
        <v>132164.79999999999</v>
      </c>
      <c r="J42" s="615" t="s">
        <v>745</v>
      </c>
      <c r="K42" s="615">
        <v>883</v>
      </c>
      <c r="L42" s="615">
        <f>K42*F42</f>
        <v>199558</v>
      </c>
      <c r="M42" s="826">
        <f>L42/2</f>
        <v>99779</v>
      </c>
      <c r="N42" s="826"/>
      <c r="O42" s="826"/>
      <c r="P42" s="826"/>
      <c r="Q42" s="830">
        <f>M42-G42</f>
        <v>-32385.799999999988</v>
      </c>
      <c r="R42" s="830"/>
      <c r="S42" s="830"/>
      <c r="T42" s="830"/>
    </row>
    <row r="43" spans="1:20" ht="50" customHeight="1" x14ac:dyDescent="0.25">
      <c r="C43" s="629"/>
      <c r="D43" s="630"/>
      <c r="E43" s="631"/>
      <c r="F43" s="615"/>
      <c r="G43" s="615"/>
      <c r="J43" s="615"/>
      <c r="K43" s="615"/>
      <c r="L43" s="615"/>
      <c r="M43" s="615"/>
      <c r="N43" s="615"/>
      <c r="O43" s="615"/>
      <c r="P43" s="615"/>
      <c r="Q43" s="615"/>
      <c r="R43" s="615"/>
      <c r="S43" s="615"/>
      <c r="T43" s="615"/>
    </row>
    <row r="44" spans="1:20" ht="50" customHeight="1" x14ac:dyDescent="0.25">
      <c r="B44" s="824" t="s">
        <v>1256</v>
      </c>
      <c r="C44" s="824"/>
      <c r="D44" s="824"/>
      <c r="E44" s="824"/>
      <c r="F44" s="615"/>
      <c r="G44" s="615"/>
      <c r="J44" s="615"/>
      <c r="K44" s="615"/>
      <c r="L44" s="615"/>
      <c r="M44" s="615"/>
      <c r="N44" s="615"/>
      <c r="O44" s="615"/>
      <c r="P44" s="615"/>
      <c r="Q44" s="615"/>
      <c r="R44" s="615"/>
      <c r="S44" s="615"/>
      <c r="T44" s="615"/>
    </row>
    <row r="45" spans="1:20" ht="50" customHeight="1" x14ac:dyDescent="0.25"/>
    <row r="46" spans="1:20" ht="50" customHeight="1" x14ac:dyDescent="0.25">
      <c r="A46" s="616" t="s">
        <v>1257</v>
      </c>
      <c r="B46" s="617"/>
      <c r="C46" s="617"/>
      <c r="D46" s="617"/>
      <c r="E46" s="617"/>
      <c r="F46" s="617"/>
      <c r="G46" s="618"/>
    </row>
    <row r="47" spans="1:20" ht="50" customHeight="1" x14ac:dyDescent="0.25">
      <c r="A47" s="619" t="s">
        <v>783</v>
      </c>
      <c r="B47" s="615" t="s">
        <v>784</v>
      </c>
      <c r="C47" s="615">
        <v>396</v>
      </c>
      <c r="D47" s="620" t="s">
        <v>1248</v>
      </c>
      <c r="G47" s="635">
        <f>C47*$F$51</f>
        <v>138600</v>
      </c>
    </row>
    <row r="48" spans="1:20" ht="50" customHeight="1" x14ac:dyDescent="0.25">
      <c r="A48" s="619" t="s">
        <v>785</v>
      </c>
      <c r="B48" s="615">
        <v>1332.7</v>
      </c>
      <c r="C48" s="615">
        <v>111</v>
      </c>
      <c r="G48" s="635">
        <f t="shared" ref="G48:G50" si="5">C48*$F$51</f>
        <v>38850</v>
      </c>
      <c r="J48" s="612" t="s">
        <v>1270</v>
      </c>
      <c r="K48" s="612" t="s">
        <v>1271</v>
      </c>
    </row>
    <row r="49" spans="1:20" ht="50" customHeight="1" x14ac:dyDescent="0.25">
      <c r="A49" s="619" t="s">
        <v>1239</v>
      </c>
      <c r="B49" s="615"/>
      <c r="C49" s="615">
        <v>258</v>
      </c>
      <c r="D49" s="621" t="s">
        <v>1240</v>
      </c>
      <c r="G49" s="634">
        <f t="shared" si="5"/>
        <v>90300</v>
      </c>
      <c r="J49" s="612">
        <f>C47+C48</f>
        <v>507</v>
      </c>
      <c r="K49" s="612">
        <f>J49*F51</f>
        <v>177450</v>
      </c>
    </row>
    <row r="50" spans="1:20" ht="50" customHeight="1" x14ac:dyDescent="0.25">
      <c r="A50" s="619" t="s">
        <v>1241</v>
      </c>
      <c r="B50" s="615"/>
      <c r="C50" s="615">
        <v>59</v>
      </c>
      <c r="D50" s="621" t="s">
        <v>1242</v>
      </c>
      <c r="G50" s="634">
        <f t="shared" si="5"/>
        <v>20650</v>
      </c>
      <c r="M50" s="827" t="s">
        <v>1243</v>
      </c>
      <c r="N50" s="827"/>
      <c r="O50" s="827"/>
      <c r="P50" s="827"/>
      <c r="Q50" s="823" t="s">
        <v>1244</v>
      </c>
      <c r="R50" s="823"/>
      <c r="S50" s="823"/>
      <c r="T50" s="823"/>
    </row>
    <row r="51" spans="1:20" ht="50" customHeight="1" x14ac:dyDescent="0.25">
      <c r="A51" s="622"/>
      <c r="B51" s="623"/>
      <c r="C51" s="624"/>
      <c r="D51" s="625" t="s">
        <v>1258</v>
      </c>
      <c r="E51" s="626">
        <f>SUM(C47:C50)</f>
        <v>824</v>
      </c>
      <c r="F51" s="627">
        <v>350</v>
      </c>
      <c r="G51" s="628">
        <f>E51*F51</f>
        <v>288400</v>
      </c>
      <c r="J51" s="615" t="s">
        <v>739</v>
      </c>
      <c r="K51" s="615">
        <v>2205.9</v>
      </c>
      <c r="L51" s="615">
        <f>K51*F51</f>
        <v>772065</v>
      </c>
      <c r="M51" s="826">
        <f>L51/2</f>
        <v>386032.5</v>
      </c>
      <c r="N51" s="826"/>
      <c r="O51" s="826"/>
      <c r="P51" s="826"/>
      <c r="Q51" s="826">
        <f>M51-G51</f>
        <v>97632.5</v>
      </c>
      <c r="R51" s="826"/>
      <c r="S51" s="826"/>
      <c r="T51" s="826"/>
    </row>
    <row r="52" spans="1:20" ht="50" customHeight="1" x14ac:dyDescent="0.25">
      <c r="H52" s="612" t="s">
        <v>1319</v>
      </c>
    </row>
    <row r="53" spans="1:20" ht="50" customHeight="1" x14ac:dyDescent="0.25">
      <c r="A53" s="680" t="s">
        <v>1318</v>
      </c>
      <c r="E53" s="612">
        <v>207.9</v>
      </c>
      <c r="F53" s="612">
        <v>70</v>
      </c>
      <c r="G53" s="687">
        <f>F53*E53</f>
        <v>14553</v>
      </c>
      <c r="H53" s="612" t="s">
        <v>1320</v>
      </c>
      <c r="J53" s="612">
        <f>J49+J33+J17+J10</f>
        <v>1972.5</v>
      </c>
    </row>
    <row r="54" spans="1:20" ht="50" customHeight="1" x14ac:dyDescent="0.25">
      <c r="A54" s="612" t="s">
        <v>1321</v>
      </c>
      <c r="E54" s="612">
        <v>9.65</v>
      </c>
      <c r="F54" s="612">
        <v>70</v>
      </c>
      <c r="G54" s="685">
        <f>F54*E54</f>
        <v>675.5</v>
      </c>
      <c r="H54" s="612" t="s">
        <v>1322</v>
      </c>
    </row>
    <row r="55" spans="1:20" ht="50" customHeight="1" x14ac:dyDescent="0.25">
      <c r="G55" s="682"/>
      <c r="K55" s="632" t="s">
        <v>1259</v>
      </c>
      <c r="L55" s="632" t="s">
        <v>1260</v>
      </c>
      <c r="M55" s="828" t="s">
        <v>1261</v>
      </c>
      <c r="N55" s="828"/>
      <c r="O55" s="828"/>
      <c r="P55" s="828"/>
      <c r="Q55" s="829" t="s">
        <v>1262</v>
      </c>
      <c r="R55" s="829"/>
      <c r="S55" s="829"/>
      <c r="T55" s="829"/>
    </row>
    <row r="56" spans="1:20" ht="50" customHeight="1" x14ac:dyDescent="0.25">
      <c r="A56" s="680" t="s">
        <v>1323</v>
      </c>
      <c r="E56" s="612">
        <v>124.2</v>
      </c>
      <c r="F56" s="612">
        <v>70</v>
      </c>
      <c r="G56" s="687">
        <f>F56*E56*5</f>
        <v>43470</v>
      </c>
      <c r="H56" s="612" t="s">
        <v>1339</v>
      </c>
      <c r="K56" s="688">
        <f>G12+G19+G28+G35+G42+G51+G54+G58</f>
        <v>1286624.8</v>
      </c>
      <c r="L56" s="686">
        <f>SUM(L12:L51)+G53+G56+G62</f>
        <v>3276294.4</v>
      </c>
      <c r="M56" s="834">
        <f>L56/2</f>
        <v>1638147.2</v>
      </c>
      <c r="N56" s="834"/>
      <c r="O56" s="834"/>
      <c r="P56" s="834"/>
      <c r="Q56" s="835">
        <f>SUM(Q12:T51)</f>
        <v>311732.40000000002</v>
      </c>
      <c r="R56" s="835"/>
      <c r="S56" s="835"/>
      <c r="T56" s="835"/>
    </row>
    <row r="57" spans="1:20" ht="16" customHeight="1" x14ac:dyDescent="0.25">
      <c r="G57" s="683"/>
      <c r="K57" s="836"/>
      <c r="L57" s="836"/>
      <c r="M57" s="836"/>
      <c r="N57" s="836"/>
      <c r="O57" s="836"/>
      <c r="P57" s="836"/>
      <c r="Q57" s="836"/>
      <c r="R57" s="836"/>
      <c r="S57" s="836"/>
      <c r="T57" s="836"/>
    </row>
    <row r="58" spans="1:20" ht="50" customHeight="1" x14ac:dyDescent="0.25">
      <c r="E58" s="612">
        <v>75.900000000000006</v>
      </c>
      <c r="F58" s="612">
        <v>70</v>
      </c>
      <c r="G58" s="685">
        <f>E58*F58</f>
        <v>5313</v>
      </c>
      <c r="H58" s="612" t="s">
        <v>1322</v>
      </c>
      <c r="K58" s="837" t="s">
        <v>1263</v>
      </c>
      <c r="L58" s="633" t="s">
        <v>1264</v>
      </c>
      <c r="M58" s="839"/>
      <c r="N58" s="839"/>
      <c r="O58" s="839"/>
      <c r="P58" s="839"/>
      <c r="Q58" s="834">
        <v>-13000</v>
      </c>
      <c r="R58" s="834"/>
      <c r="S58" s="834"/>
      <c r="T58" s="834"/>
    </row>
    <row r="59" spans="1:20" ht="50" customHeight="1" x14ac:dyDescent="0.25">
      <c r="G59" s="681"/>
      <c r="K59" s="838"/>
      <c r="L59" s="633" t="s">
        <v>1265</v>
      </c>
      <c r="M59" s="839"/>
      <c r="N59" s="839"/>
      <c r="O59" s="839"/>
      <c r="P59" s="839"/>
      <c r="Q59" s="834">
        <v>-30000</v>
      </c>
      <c r="R59" s="834"/>
      <c r="S59" s="834"/>
      <c r="T59" s="834"/>
    </row>
    <row r="60" spans="1:20" ht="50" customHeight="1" x14ac:dyDescent="0.25">
      <c r="A60" s="680" t="s">
        <v>1324</v>
      </c>
      <c r="G60" s="681"/>
      <c r="K60" s="838"/>
      <c r="L60" s="633" t="s">
        <v>1266</v>
      </c>
      <c r="M60" s="839"/>
      <c r="N60" s="839"/>
      <c r="O60" s="839"/>
      <c r="P60" s="839"/>
      <c r="Q60" s="834">
        <v>-17000</v>
      </c>
      <c r="R60" s="834"/>
      <c r="S60" s="834"/>
      <c r="T60" s="834"/>
    </row>
    <row r="61" spans="1:20" ht="14" customHeight="1" x14ac:dyDescent="0.25">
      <c r="G61" s="681"/>
      <c r="K61" s="840"/>
      <c r="L61" s="840"/>
      <c r="M61" s="840"/>
      <c r="N61" s="840"/>
      <c r="O61" s="840"/>
      <c r="P61" s="840"/>
      <c r="Q61" s="840"/>
      <c r="R61" s="840"/>
      <c r="S61" s="840"/>
      <c r="T61" s="840"/>
    </row>
    <row r="62" spans="1:20" ht="50" customHeight="1" x14ac:dyDescent="0.25">
      <c r="E62" s="612">
        <v>124.2</v>
      </c>
      <c r="F62" s="612">
        <v>90</v>
      </c>
      <c r="G62" s="687">
        <f>F62*E62*3</f>
        <v>33534</v>
      </c>
      <c r="H62" s="612" t="s">
        <v>1340</v>
      </c>
      <c r="M62" s="841" t="s">
        <v>1267</v>
      </c>
      <c r="N62" s="841"/>
      <c r="O62" s="841"/>
      <c r="P62" s="841"/>
      <c r="Q62" s="835">
        <f>SUM(Q56:T60)</f>
        <v>251732.40000000002</v>
      </c>
      <c r="R62" s="835"/>
      <c r="S62" s="835"/>
      <c r="T62" s="835"/>
    </row>
    <row r="63" spans="1:20" ht="50" customHeight="1" x14ac:dyDescent="0.25">
      <c r="E63" s="612">
        <v>32.29</v>
      </c>
      <c r="F63" s="612">
        <v>90</v>
      </c>
      <c r="G63" s="685">
        <f>F63*E63*3</f>
        <v>8718.2999999999993</v>
      </c>
      <c r="H63" s="612" t="s">
        <v>1322</v>
      </c>
    </row>
    <row r="64" spans="1:20" ht="50" customHeight="1" x14ac:dyDescent="0.25">
      <c r="G64" s="681"/>
    </row>
    <row r="65" spans="7:20" ht="50" customHeight="1" x14ac:dyDescent="0.25">
      <c r="K65" s="842" t="s">
        <v>1268</v>
      </c>
      <c r="L65" s="843"/>
      <c r="N65" s="844" t="s">
        <v>1269</v>
      </c>
      <c r="O65" s="845"/>
      <c r="P65" s="845"/>
      <c r="Q65" s="845"/>
      <c r="R65" s="845"/>
      <c r="S65" s="845"/>
      <c r="T65" s="845"/>
    </row>
    <row r="66" spans="7:20" ht="50" customHeight="1" x14ac:dyDescent="0.25">
      <c r="K66" s="831">
        <f>M56</f>
        <v>1638147.2</v>
      </c>
      <c r="L66" s="832"/>
      <c r="N66" s="833">
        <f>Q62</f>
        <v>251732.40000000002</v>
      </c>
      <c r="O66" s="833"/>
      <c r="P66" s="833"/>
      <c r="Q66" s="833"/>
      <c r="R66" s="833"/>
      <c r="S66" s="833"/>
      <c r="T66" s="833"/>
    </row>
    <row r="67" spans="7:20" ht="50" customHeight="1" x14ac:dyDescent="0.25">
      <c r="G67" s="694">
        <f>SUM(G63,G58,G54,G48,G47,G39,G38,G32,G31,G25,G24,G16,G15,G9,G8)</f>
        <v>744714.1</v>
      </c>
    </row>
    <row r="68" spans="7:20" ht="50" customHeight="1" x14ac:dyDescent="0.25"/>
    <row r="69" spans="7:20" ht="50" customHeight="1" x14ac:dyDescent="0.25"/>
    <row r="70" spans="7:20" ht="50" customHeight="1" x14ac:dyDescent="0.25"/>
    <row r="71" spans="7:20" ht="50" customHeight="1" x14ac:dyDescent="0.25"/>
    <row r="72" spans="7:20" ht="50" customHeight="1" x14ac:dyDescent="0.25"/>
    <row r="73" spans="7:20" ht="50" customHeight="1" x14ac:dyDescent="0.25"/>
    <row r="74" spans="7:20" ht="50" customHeight="1" x14ac:dyDescent="0.25"/>
    <row r="75" spans="7:20" ht="50" customHeight="1" x14ac:dyDescent="0.25"/>
    <row r="76" spans="7:20" ht="50" customHeight="1" x14ac:dyDescent="0.25"/>
    <row r="77" spans="7:20" ht="50" customHeight="1" x14ac:dyDescent="0.25"/>
    <row r="78" spans="7:20" ht="50" customHeight="1" x14ac:dyDescent="0.25"/>
    <row r="79" spans="7:20" ht="50" customHeight="1" x14ac:dyDescent="0.25"/>
    <row r="80" spans="7:20" ht="50" customHeight="1" x14ac:dyDescent="0.25"/>
    <row r="81" ht="50" customHeight="1" x14ac:dyDescent="0.25"/>
    <row r="82" ht="50" customHeight="1" x14ac:dyDescent="0.25"/>
    <row r="83" ht="50" customHeight="1" x14ac:dyDescent="0.25"/>
    <row r="84" ht="50" customHeight="1" x14ac:dyDescent="0.25"/>
    <row r="85" ht="50" customHeight="1" x14ac:dyDescent="0.25"/>
    <row r="86" ht="50" customHeight="1" x14ac:dyDescent="0.25"/>
    <row r="87" ht="50" customHeight="1" x14ac:dyDescent="0.25"/>
    <row r="88" ht="50" customHeight="1" x14ac:dyDescent="0.25"/>
    <row r="89" ht="50" customHeight="1" x14ac:dyDescent="0.25"/>
    <row r="90" ht="50" customHeight="1" x14ac:dyDescent="0.25"/>
    <row r="91" ht="50" customHeight="1" x14ac:dyDescent="0.25"/>
    <row r="92" ht="50" customHeight="1" x14ac:dyDescent="0.25"/>
    <row r="93" ht="50" customHeight="1" x14ac:dyDescent="0.25"/>
    <row r="94" ht="50" customHeight="1" x14ac:dyDescent="0.25"/>
    <row r="95" ht="50" customHeight="1" x14ac:dyDescent="0.25"/>
    <row r="96" ht="50" customHeight="1" x14ac:dyDescent="0.25"/>
    <row r="97" ht="50" customHeight="1" x14ac:dyDescent="0.25"/>
    <row r="98" ht="50" customHeight="1" x14ac:dyDescent="0.25"/>
    <row r="99" ht="50" customHeight="1" x14ac:dyDescent="0.25"/>
    <row r="100" ht="50" customHeight="1" x14ac:dyDescent="0.25"/>
    <row r="101" ht="50" customHeight="1" x14ac:dyDescent="0.25"/>
    <row r="102" ht="50" customHeight="1" x14ac:dyDescent="0.25"/>
    <row r="103" ht="50" customHeight="1" x14ac:dyDescent="0.25"/>
    <row r="104" ht="50" customHeight="1" x14ac:dyDescent="0.25"/>
    <row r="105" ht="50" customHeight="1" x14ac:dyDescent="0.25"/>
    <row r="106" ht="50" customHeight="1" x14ac:dyDescent="0.25"/>
    <row r="107" ht="50" customHeight="1" x14ac:dyDescent="0.25"/>
    <row r="108" ht="50" customHeight="1" x14ac:dyDescent="0.25"/>
    <row r="109" ht="50" customHeight="1" x14ac:dyDescent="0.25"/>
    <row r="110" ht="50" customHeight="1" x14ac:dyDescent="0.25"/>
    <row r="111" ht="50" customHeight="1" x14ac:dyDescent="0.25"/>
    <row r="112" ht="50" customHeight="1" x14ac:dyDescent="0.25"/>
    <row r="113" ht="50" customHeight="1" x14ac:dyDescent="0.25"/>
    <row r="114" ht="50" customHeight="1" x14ac:dyDescent="0.25"/>
    <row r="115" ht="50" customHeight="1" x14ac:dyDescent="0.25"/>
    <row r="116" ht="50" customHeight="1" x14ac:dyDescent="0.25"/>
    <row r="117" ht="50" customHeight="1" x14ac:dyDescent="0.25"/>
    <row r="118" ht="50" customHeight="1" x14ac:dyDescent="0.25"/>
    <row r="119" ht="50" customHeight="1" x14ac:dyDescent="0.25"/>
    <row r="120" ht="50" customHeight="1" x14ac:dyDescent="0.25"/>
    <row r="121" ht="50" customHeight="1" x14ac:dyDescent="0.25"/>
    <row r="122" ht="50" customHeight="1" x14ac:dyDescent="0.25"/>
    <row r="123" ht="50" customHeight="1" x14ac:dyDescent="0.25"/>
    <row r="124" ht="50" customHeight="1" x14ac:dyDescent="0.25"/>
    <row r="125" ht="50" customHeight="1" x14ac:dyDescent="0.25"/>
    <row r="126" ht="50" customHeight="1" x14ac:dyDescent="0.25"/>
    <row r="127" ht="50" customHeight="1" x14ac:dyDescent="0.25"/>
    <row r="128" ht="50" customHeight="1" x14ac:dyDescent="0.25"/>
    <row r="129" ht="50" customHeight="1" x14ac:dyDescent="0.25"/>
    <row r="130" ht="50" customHeight="1" x14ac:dyDescent="0.25"/>
    <row r="131" ht="50" customHeight="1" x14ac:dyDescent="0.25"/>
    <row r="132" ht="50" customHeight="1" x14ac:dyDescent="0.25"/>
    <row r="133" ht="50" customHeight="1" x14ac:dyDescent="0.25"/>
    <row r="134" ht="50" customHeight="1" x14ac:dyDescent="0.25"/>
    <row r="135" ht="50" customHeight="1" x14ac:dyDescent="0.25"/>
    <row r="136" ht="50" customHeight="1" x14ac:dyDescent="0.25"/>
    <row r="137" ht="50" customHeight="1" x14ac:dyDescent="0.25"/>
    <row r="138" ht="50" customHeight="1" x14ac:dyDescent="0.25"/>
    <row r="139" ht="50" customHeight="1" x14ac:dyDescent="0.25"/>
    <row r="140" ht="50" customHeight="1" x14ac:dyDescent="0.25"/>
    <row r="141" ht="50" customHeight="1" x14ac:dyDescent="0.25"/>
    <row r="142" ht="50" customHeight="1" x14ac:dyDescent="0.25"/>
    <row r="143" ht="50" customHeight="1" x14ac:dyDescent="0.25"/>
    <row r="144" ht="50" customHeight="1" x14ac:dyDescent="0.25"/>
    <row r="145" ht="50" customHeight="1" x14ac:dyDescent="0.25"/>
    <row r="146" ht="50" customHeight="1" x14ac:dyDescent="0.25"/>
    <row r="147" ht="50" customHeight="1" x14ac:dyDescent="0.25"/>
    <row r="148" ht="50" customHeight="1" x14ac:dyDescent="0.25"/>
    <row r="149" ht="50" customHeight="1" x14ac:dyDescent="0.25"/>
    <row r="150" ht="50" customHeight="1" x14ac:dyDescent="0.25"/>
    <row r="151" ht="50" customHeight="1" x14ac:dyDescent="0.25"/>
    <row r="152" ht="50" customHeight="1" x14ac:dyDescent="0.25"/>
    <row r="153" ht="50" customHeight="1" x14ac:dyDescent="0.25"/>
    <row r="154" ht="50" customHeight="1" x14ac:dyDescent="0.25"/>
    <row r="155" ht="50" customHeight="1" x14ac:dyDescent="0.25"/>
    <row r="156" ht="50" customHeight="1" x14ac:dyDescent="0.25"/>
    <row r="157" ht="50" customHeight="1" x14ac:dyDescent="0.25"/>
    <row r="158" ht="50" customHeight="1" x14ac:dyDescent="0.25"/>
    <row r="159" ht="50" customHeight="1" x14ac:dyDescent="0.25"/>
    <row r="160" ht="50" customHeight="1" x14ac:dyDescent="0.25"/>
    <row r="161" ht="50" customHeight="1" x14ac:dyDescent="0.25"/>
    <row r="162" ht="50" customHeight="1" x14ac:dyDescent="0.25"/>
    <row r="163" ht="50" customHeight="1" x14ac:dyDescent="0.25"/>
    <row r="164" ht="50" customHeight="1" x14ac:dyDescent="0.25"/>
    <row r="165" ht="50" customHeight="1" x14ac:dyDescent="0.25"/>
    <row r="166" ht="50" customHeight="1" x14ac:dyDescent="0.25"/>
    <row r="167" ht="50" customHeight="1" x14ac:dyDescent="0.25"/>
    <row r="168" ht="50" customHeight="1" x14ac:dyDescent="0.25"/>
    <row r="169" ht="50" customHeight="1" x14ac:dyDescent="0.25"/>
    <row r="170" ht="50" customHeight="1" x14ac:dyDescent="0.25"/>
    <row r="171" ht="50" customHeight="1" x14ac:dyDescent="0.25"/>
    <row r="172" ht="50" customHeight="1" x14ac:dyDescent="0.25"/>
    <row r="173" ht="50" customHeight="1" x14ac:dyDescent="0.25"/>
    <row r="174" ht="50" customHeight="1" x14ac:dyDescent="0.25"/>
    <row r="175" ht="50" customHeight="1" x14ac:dyDescent="0.25"/>
    <row r="176" ht="50" customHeight="1" x14ac:dyDescent="0.25"/>
    <row r="177" ht="50" customHeight="1" x14ac:dyDescent="0.25"/>
    <row r="178" ht="50" customHeight="1" x14ac:dyDescent="0.25"/>
    <row r="179" ht="50" customHeight="1" x14ac:dyDescent="0.25"/>
    <row r="180" ht="50" customHeight="1" x14ac:dyDescent="0.25"/>
    <row r="181" ht="50" customHeight="1" x14ac:dyDescent="0.25"/>
    <row r="182" ht="50" customHeight="1" x14ac:dyDescent="0.25"/>
    <row r="183" ht="50" customHeight="1" x14ac:dyDescent="0.25"/>
    <row r="184" ht="50" customHeight="1" x14ac:dyDescent="0.25"/>
    <row r="185" ht="50" customHeight="1" x14ac:dyDescent="0.25"/>
    <row r="186" ht="50" customHeight="1" x14ac:dyDescent="0.25"/>
    <row r="187" ht="50" customHeight="1" x14ac:dyDescent="0.25"/>
    <row r="188" ht="50" customHeight="1" x14ac:dyDescent="0.25"/>
    <row r="189" ht="50" customHeight="1" x14ac:dyDescent="0.25"/>
    <row r="190" ht="50" customHeight="1" x14ac:dyDescent="0.25"/>
    <row r="191" ht="50" customHeight="1" x14ac:dyDescent="0.25"/>
    <row r="192" ht="50" customHeight="1" x14ac:dyDescent="0.25"/>
    <row r="193" ht="50" customHeight="1" x14ac:dyDescent="0.25"/>
    <row r="194" ht="50" customHeight="1" x14ac:dyDescent="0.25"/>
    <row r="195" ht="50" customHeight="1" x14ac:dyDescent="0.25"/>
    <row r="196" ht="50" customHeight="1" x14ac:dyDescent="0.25"/>
    <row r="197" ht="50" customHeight="1" x14ac:dyDescent="0.25"/>
    <row r="198" ht="50" customHeight="1" x14ac:dyDescent="0.25"/>
    <row r="199" ht="50" customHeight="1" x14ac:dyDescent="0.25"/>
    <row r="200" ht="50" customHeight="1" x14ac:dyDescent="0.25"/>
    <row r="201" ht="50" customHeight="1" x14ac:dyDescent="0.25"/>
    <row r="202" ht="50" customHeight="1" x14ac:dyDescent="0.25"/>
    <row r="203" ht="50" customHeight="1" x14ac:dyDescent="0.25"/>
    <row r="204" ht="50" customHeight="1" x14ac:dyDescent="0.25"/>
    <row r="205" ht="50" customHeight="1" x14ac:dyDescent="0.25"/>
    <row r="206" ht="50" customHeight="1" x14ac:dyDescent="0.25"/>
    <row r="207" ht="50" customHeight="1" x14ac:dyDescent="0.25"/>
    <row r="208" ht="50" customHeight="1" x14ac:dyDescent="0.25"/>
    <row r="209" ht="50" customHeight="1" x14ac:dyDescent="0.25"/>
    <row r="210" ht="50" customHeight="1" x14ac:dyDescent="0.25"/>
    <row r="211" ht="50" customHeight="1" x14ac:dyDescent="0.25"/>
    <row r="212" ht="50" customHeight="1" x14ac:dyDescent="0.25"/>
    <row r="213" ht="50" customHeight="1" x14ac:dyDescent="0.25"/>
    <row r="214" ht="50" customHeight="1" x14ac:dyDescent="0.25"/>
    <row r="215" ht="50" customHeight="1" x14ac:dyDescent="0.25"/>
    <row r="216" ht="50" customHeight="1" x14ac:dyDescent="0.25"/>
    <row r="217" ht="50" customHeight="1" x14ac:dyDescent="0.25"/>
    <row r="218" ht="50" customHeight="1" x14ac:dyDescent="0.25"/>
    <row r="219" ht="50" customHeight="1" x14ac:dyDescent="0.25"/>
    <row r="220" ht="50" customHeight="1" x14ac:dyDescent="0.25"/>
    <row r="221" ht="50" customHeight="1" x14ac:dyDescent="0.25"/>
    <row r="222" ht="50" customHeight="1" x14ac:dyDescent="0.25"/>
    <row r="223" ht="50" customHeight="1" x14ac:dyDescent="0.25"/>
    <row r="224" ht="50" customHeight="1" x14ac:dyDescent="0.25"/>
    <row r="225" ht="50" customHeight="1" x14ac:dyDescent="0.25"/>
    <row r="226" ht="50" customHeight="1" x14ac:dyDescent="0.25"/>
    <row r="227" ht="50" customHeight="1" x14ac:dyDescent="0.25"/>
    <row r="228" ht="50" customHeight="1" x14ac:dyDescent="0.25"/>
    <row r="229" ht="50" customHeight="1" x14ac:dyDescent="0.25"/>
    <row r="230" ht="50" customHeight="1" x14ac:dyDescent="0.25"/>
    <row r="231" ht="50" customHeight="1" x14ac:dyDescent="0.25"/>
    <row r="232" ht="50" customHeight="1" x14ac:dyDescent="0.25"/>
    <row r="233" ht="50" customHeight="1" x14ac:dyDescent="0.25"/>
    <row r="234" ht="50" customHeight="1" x14ac:dyDescent="0.25"/>
    <row r="235" ht="50" customHeight="1" x14ac:dyDescent="0.25"/>
    <row r="236" ht="50" customHeight="1" x14ac:dyDescent="0.25"/>
    <row r="237" ht="50" customHeight="1" x14ac:dyDescent="0.25"/>
    <row r="238" ht="50" customHeight="1" x14ac:dyDescent="0.25"/>
    <row r="239" ht="50" customHeight="1" x14ac:dyDescent="0.25"/>
    <row r="240" ht="50" customHeight="1" x14ac:dyDescent="0.25"/>
    <row r="241" ht="50" customHeight="1" x14ac:dyDescent="0.25"/>
  </sheetData>
  <mergeCells count="47">
    <mergeCell ref="K66:L66"/>
    <mergeCell ref="N66:T66"/>
    <mergeCell ref="M56:P56"/>
    <mergeCell ref="Q56:T56"/>
    <mergeCell ref="K57:T57"/>
    <mergeCell ref="K58:K60"/>
    <mergeCell ref="M58:P60"/>
    <mergeCell ref="Q58:T58"/>
    <mergeCell ref="Q59:T59"/>
    <mergeCell ref="Q60:T60"/>
    <mergeCell ref="K61:T61"/>
    <mergeCell ref="M62:P62"/>
    <mergeCell ref="Q62:T62"/>
    <mergeCell ref="K65:L65"/>
    <mergeCell ref="N65:T65"/>
    <mergeCell ref="B44:E44"/>
    <mergeCell ref="M50:P50"/>
    <mergeCell ref="Q50:T50"/>
    <mergeCell ref="M51:P51"/>
    <mergeCell ref="Q51:T51"/>
    <mergeCell ref="M55:P55"/>
    <mergeCell ref="Q55:T55"/>
    <mergeCell ref="M35:P35"/>
    <mergeCell ref="Q35:T35"/>
    <mergeCell ref="M41:P41"/>
    <mergeCell ref="Q41:T41"/>
    <mergeCell ref="M42:P42"/>
    <mergeCell ref="Q42:T42"/>
    <mergeCell ref="B21:E21"/>
    <mergeCell ref="M27:P27"/>
    <mergeCell ref="Q27:T27"/>
    <mergeCell ref="M28:P28"/>
    <mergeCell ref="Q28:T28"/>
    <mergeCell ref="M34:P34"/>
    <mergeCell ref="Q34:T34"/>
    <mergeCell ref="M12:P12"/>
    <mergeCell ref="Q12:T12"/>
    <mergeCell ref="M18:P18"/>
    <mergeCell ref="Q18:T18"/>
    <mergeCell ref="M19:P19"/>
    <mergeCell ref="Q19:T19"/>
    <mergeCell ref="Q11:T11"/>
    <mergeCell ref="B2:E2"/>
    <mergeCell ref="C3:D3"/>
    <mergeCell ref="C4:D4"/>
    <mergeCell ref="C5:D5"/>
    <mergeCell ref="M11:P11"/>
  </mergeCells>
  <pageMargins left="0.70866141732283472" right="0.70866141732283472" top="0.74803149606299213" bottom="0.74803149606299213" header="0.31496062992125984" footer="0.31496062992125984"/>
  <pageSetup paperSize="9" scale="25"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theme="3"/>
    <pageSetUpPr fitToPage="1"/>
  </sheetPr>
  <dimension ref="A1:J372"/>
  <sheetViews>
    <sheetView topLeftCell="A44" workbookViewId="0">
      <selection activeCell="F3" sqref="F3"/>
    </sheetView>
  </sheetViews>
  <sheetFormatPr baseColWidth="10" defaultColWidth="10.33203125" defaultRowHeight="15" x14ac:dyDescent="0.2"/>
  <cols>
    <col min="1" max="1" width="3" style="637" customWidth="1"/>
    <col min="2" max="2" width="6.5" style="637" customWidth="1"/>
    <col min="3" max="3" width="15.5" style="637" customWidth="1"/>
    <col min="4" max="4" width="19" style="637" customWidth="1"/>
    <col min="5" max="5" width="21" style="637" customWidth="1"/>
    <col min="6" max="7" width="15.5" style="637" customWidth="1"/>
    <col min="8" max="8" width="17.1640625" style="637" bestFit="1" customWidth="1"/>
    <col min="9" max="9" width="3" style="637" customWidth="1"/>
    <col min="10" max="10" width="14.1640625" style="637" bestFit="1" customWidth="1"/>
    <col min="11" max="16384" width="10.33203125" style="637"/>
  </cols>
  <sheetData>
    <row r="1" spans="1:8" ht="30" customHeight="1" x14ac:dyDescent="0.25">
      <c r="B1" s="638" t="s">
        <v>1276</v>
      </c>
      <c r="C1" s="639"/>
      <c r="D1" s="639"/>
      <c r="E1" s="639" t="s">
        <v>1277</v>
      </c>
      <c r="F1" s="639"/>
      <c r="G1" s="639"/>
      <c r="H1" s="639"/>
    </row>
    <row r="2" spans="1:8" ht="30" customHeight="1" x14ac:dyDescent="0.2">
      <c r="B2" s="848" t="s">
        <v>1278</v>
      </c>
      <c r="C2" s="848"/>
      <c r="D2" s="848"/>
      <c r="E2" s="848"/>
    </row>
    <row r="3" spans="1:8" x14ac:dyDescent="0.2">
      <c r="B3" s="849" t="s">
        <v>1279</v>
      </c>
      <c r="C3" s="849"/>
      <c r="D3" s="850"/>
      <c r="E3" s="640">
        <v>369362</v>
      </c>
      <c r="F3" s="668" t="s">
        <v>1295</v>
      </c>
    </row>
    <row r="4" spans="1:8" x14ac:dyDescent="0.2">
      <c r="B4" s="846" t="s">
        <v>1280</v>
      </c>
      <c r="C4" s="846"/>
      <c r="D4" s="851"/>
      <c r="E4" s="641">
        <v>3.7999999999999999E-2</v>
      </c>
    </row>
    <row r="5" spans="1:8" x14ac:dyDescent="0.2">
      <c r="B5" s="846" t="s">
        <v>1281</v>
      </c>
      <c r="C5" s="846"/>
      <c r="D5" s="851"/>
      <c r="E5" s="642">
        <v>8</v>
      </c>
    </row>
    <row r="6" spans="1:8" x14ac:dyDescent="0.2">
      <c r="B6" s="846" t="s">
        <v>1282</v>
      </c>
      <c r="C6" s="846"/>
      <c r="D6" s="851"/>
      <c r="E6" s="643">
        <v>44927</v>
      </c>
    </row>
    <row r="7" spans="1:8" x14ac:dyDescent="0.2">
      <c r="B7" s="644"/>
      <c r="C7" s="644"/>
      <c r="D7" s="644"/>
    </row>
    <row r="8" spans="1:8" x14ac:dyDescent="0.2">
      <c r="B8" s="846" t="s">
        <v>1283</v>
      </c>
      <c r="C8" s="846"/>
      <c r="D8" s="847"/>
      <c r="E8" s="645">
        <f>IFERROR(IF(Valeurs_Entrées,Mensualité,""), "")</f>
        <v>4467.9715970246652</v>
      </c>
    </row>
    <row r="9" spans="1:8" x14ac:dyDescent="0.2">
      <c r="B9" s="846" t="s">
        <v>1284</v>
      </c>
      <c r="C9" s="846"/>
      <c r="D9" s="847"/>
      <c r="E9" s="646">
        <f>IFERROR(IF(Valeurs_Entrées,Durée_Prêt*12,""), "")</f>
        <v>96</v>
      </c>
    </row>
    <row r="10" spans="1:8" x14ac:dyDescent="0.2">
      <c r="B10" s="846" t="s">
        <v>1285</v>
      </c>
      <c r="C10" s="846"/>
      <c r="D10" s="847"/>
      <c r="E10" s="645">
        <f>IFERROR(IF(Valeurs_Entrées,Coût_Total-Montant_Prêt,""), "")</f>
        <v>59563.273314367863</v>
      </c>
      <c r="F10" s="647">
        <f>+Total_Intérêts/10</f>
        <v>5956.3273314367862</v>
      </c>
      <c r="G10" s="637" t="s">
        <v>1286</v>
      </c>
    </row>
    <row r="11" spans="1:8" x14ac:dyDescent="0.2">
      <c r="B11" s="846" t="s">
        <v>1287</v>
      </c>
      <c r="C11" s="846"/>
      <c r="D11" s="847"/>
      <c r="E11" s="645">
        <f>IFERROR(IF(Valeurs_Entrées,Mensualité*Nombre_Paiements,""), "")</f>
        <v>428925.27331436786</v>
      </c>
    </row>
    <row r="12" spans="1:8" ht="62.25" customHeight="1" thickBot="1" x14ac:dyDescent="0.25">
      <c r="B12" s="648" t="s">
        <v>1288</v>
      </c>
      <c r="C12" s="648" t="s">
        <v>1289</v>
      </c>
      <c r="D12" s="648" t="s">
        <v>1290</v>
      </c>
      <c r="E12" s="648" t="s">
        <v>1291</v>
      </c>
      <c r="F12" s="648" t="s">
        <v>1292</v>
      </c>
      <c r="G12" s="648" t="s">
        <v>1293</v>
      </c>
      <c r="H12" s="648" t="s">
        <v>1294</v>
      </c>
    </row>
    <row r="13" spans="1:8" x14ac:dyDescent="0.2">
      <c r="A13" s="649"/>
      <c r="B13" s="650">
        <f>IFERROR(IF(Prêt_Non_Payé*Valeurs_Entrées,Numéro_Paiement,""), "")</f>
        <v>1</v>
      </c>
      <c r="C13" s="651">
        <f>IFERROR(IF(Prêt_Non_Payé*Valeurs_Entrées,Date_Paiement,""), "")</f>
        <v>44958</v>
      </c>
      <c r="D13" s="652">
        <f>IFERROR(IF(Prêt_Non_Payé*Valeurs_Entrées,Solde_Départ,""), "")</f>
        <v>369362</v>
      </c>
      <c r="E13" s="652">
        <f>IFERROR(IF(Prêt_Non_Payé*Valeurs_Entrées,Mensualité,""), "")</f>
        <v>4467.9715970246652</v>
      </c>
      <c r="F13" s="652">
        <f>IFERROR(IF(Prêt_Non_Payé*Valeurs_Entrées,Capital,""), "")</f>
        <v>3298.3252636913326</v>
      </c>
      <c r="G13" s="652">
        <f>IFERROR(IF(Prêt_Non_Payé*Valeurs_Entrées,Intérêts,""), "")</f>
        <v>1169.6463333333334</v>
      </c>
      <c r="H13" s="653">
        <f>IFERROR(IF(Prêt_Non_Payé*Valeurs_Entrées,Solde_Final,""), "")</f>
        <v>366063.67473630857</v>
      </c>
    </row>
    <row r="14" spans="1:8" x14ac:dyDescent="0.2">
      <c r="A14" s="654"/>
      <c r="B14" s="655">
        <f>IFERROR(IF(Prêt_Non_Payé*Valeurs_Entrées,Numéro_Paiement,""), "")</f>
        <v>2</v>
      </c>
      <c r="C14" s="656">
        <f>IFERROR(IF(Prêt_Non_Payé*Valeurs_Entrées,Date_Paiement,""), "")</f>
        <v>44986</v>
      </c>
      <c r="D14" s="657">
        <f>IFERROR(IF(Prêt_Non_Payé*Valeurs_Entrées,Solde_Départ,""), "")</f>
        <v>366063.67473630857</v>
      </c>
      <c r="E14" s="657">
        <f>IFERROR(IF(Prêt_Non_Payé*Valeurs_Entrées,Mensualité,""), "")</f>
        <v>4467.9715970246652</v>
      </c>
      <c r="F14" s="657">
        <f>IFERROR(IF(Prêt_Non_Payé*Valeurs_Entrées,Capital,""), "")</f>
        <v>3308.769960359688</v>
      </c>
      <c r="G14" s="657">
        <f>IFERROR(IF(Prêt_Non_Payé*Valeurs_Entrées,Intérêts,""), "")</f>
        <v>1159.2016366649775</v>
      </c>
      <c r="H14" s="658">
        <f>IFERROR(IF(Prêt_Non_Payé*Valeurs_Entrées,Solde_Final,""), "")</f>
        <v>362754.90477594885</v>
      </c>
    </row>
    <row r="15" spans="1:8" x14ac:dyDescent="0.2">
      <c r="A15" s="654"/>
      <c r="B15" s="655">
        <f>IFERROR(IF(Prêt_Non_Payé*Valeurs_Entrées,Numéro_Paiement,""), "")</f>
        <v>3</v>
      </c>
      <c r="C15" s="656">
        <f>IFERROR(IF(Prêt_Non_Payé*Valeurs_Entrées,Date_Paiement,""), "")</f>
        <v>45017</v>
      </c>
      <c r="D15" s="657">
        <f>IFERROR(IF(Prêt_Non_Payé*Valeurs_Entrées,Solde_Départ,""), "")</f>
        <v>362754.90477594885</v>
      </c>
      <c r="E15" s="657">
        <f>IFERROR(IF(Prêt_Non_Payé*Valeurs_Entrées,Mensualité,""), "")</f>
        <v>4467.9715970246652</v>
      </c>
      <c r="F15" s="657">
        <f>IFERROR(IF(Prêt_Non_Payé*Valeurs_Entrées,Capital,""), "")</f>
        <v>3319.2477319008271</v>
      </c>
      <c r="G15" s="657">
        <f>IFERROR(IF(Prêt_Non_Payé*Valeurs_Entrées,Intérêts,""), "")</f>
        <v>1148.7238651238386</v>
      </c>
      <c r="H15" s="658">
        <f>IFERROR(IF(Prêt_Non_Payé*Valeurs_Entrées,Solde_Final,""), "")</f>
        <v>359435.6570440479</v>
      </c>
    </row>
    <row r="16" spans="1:8" x14ac:dyDescent="0.2">
      <c r="A16" s="654"/>
      <c r="B16" s="655">
        <f>IFERROR(IF(Prêt_Non_Payé*Valeurs_Entrées,Numéro_Paiement,""), "")</f>
        <v>4</v>
      </c>
      <c r="C16" s="656">
        <f>IFERROR(IF(Prêt_Non_Payé*Valeurs_Entrées,Date_Paiement,""), "")</f>
        <v>45047</v>
      </c>
      <c r="D16" s="657">
        <f>IFERROR(IF(Prêt_Non_Payé*Valeurs_Entrées,Solde_Départ,""), "")</f>
        <v>359435.6570440479</v>
      </c>
      <c r="E16" s="657">
        <f>IFERROR(IF(Prêt_Non_Payé*Valeurs_Entrées,Mensualité,""), "")</f>
        <v>4467.9715970246652</v>
      </c>
      <c r="F16" s="657">
        <f>IFERROR(IF(Prêt_Non_Payé*Valeurs_Entrées,Capital,""), "")</f>
        <v>3329.7586830518471</v>
      </c>
      <c r="G16" s="657">
        <f>IFERROR(IF(Prêt_Non_Payé*Valeurs_Entrées,Intérêts,""), "")</f>
        <v>1138.212913972819</v>
      </c>
      <c r="H16" s="658">
        <f>IFERROR(IF(Prêt_Non_Payé*Valeurs_Entrées,Solde_Final,""), "")</f>
        <v>356105.89836099598</v>
      </c>
    </row>
    <row r="17" spans="1:10" x14ac:dyDescent="0.2">
      <c r="A17" s="654"/>
      <c r="B17" s="655">
        <f>IFERROR(IF(Prêt_Non_Payé*Valeurs_Entrées,Numéro_Paiement,""), "")</f>
        <v>5</v>
      </c>
      <c r="C17" s="656">
        <f>IFERROR(IF(Prêt_Non_Payé*Valeurs_Entrées,Date_Paiement,""), "")</f>
        <v>45078</v>
      </c>
      <c r="D17" s="657">
        <f>IFERROR(IF(Prêt_Non_Payé*Valeurs_Entrées,Solde_Départ,""), "")</f>
        <v>356105.89836099598</v>
      </c>
      <c r="E17" s="657">
        <f>IFERROR(IF(Prêt_Non_Payé*Valeurs_Entrées,Mensualité,""), "")</f>
        <v>4467.9715970246652</v>
      </c>
      <c r="F17" s="657">
        <f>IFERROR(IF(Prêt_Non_Payé*Valeurs_Entrées,Capital,""), "")</f>
        <v>3340.3029188815108</v>
      </c>
      <c r="G17" s="657">
        <f>IFERROR(IF(Prêt_Non_Payé*Valeurs_Entrées,Intérêts,""), "")</f>
        <v>1127.6686781431547</v>
      </c>
      <c r="H17" s="658">
        <f>IFERROR(IF(Prêt_Non_Payé*Valeurs_Entrées,Solde_Final,""), "")</f>
        <v>352765.5954421144</v>
      </c>
    </row>
    <row r="18" spans="1:10" x14ac:dyDescent="0.2">
      <c r="A18" s="654"/>
      <c r="B18" s="655">
        <f>IFERROR(IF(Prêt_Non_Payé*Valeurs_Entrées,Numéro_Paiement,""), "")</f>
        <v>6</v>
      </c>
      <c r="C18" s="656">
        <f>IFERROR(IF(Prêt_Non_Payé*Valeurs_Entrées,Date_Paiement,""), "")</f>
        <v>45108</v>
      </c>
      <c r="D18" s="657">
        <f>IFERROR(IF(Prêt_Non_Payé*Valeurs_Entrées,Solde_Départ,""), "")</f>
        <v>352765.5954421144</v>
      </c>
      <c r="E18" s="657">
        <f>IFERROR(IF(Prêt_Non_Payé*Valeurs_Entrées,Mensualité,""), "")</f>
        <v>4467.9715970246652</v>
      </c>
      <c r="F18" s="657">
        <f>IFERROR(IF(Prêt_Non_Payé*Valeurs_Entrées,Capital,""), "")</f>
        <v>3350.8805447913019</v>
      </c>
      <c r="G18" s="657">
        <f>IFERROR(IF(Prêt_Non_Payé*Valeurs_Entrées,Intérêts,""), "")</f>
        <v>1117.0910522333636</v>
      </c>
      <c r="H18" s="658">
        <f>IFERROR(IF(Prêt_Non_Payé*Valeurs_Entrées,Solde_Final,""), "")</f>
        <v>349414.71489732293</v>
      </c>
    </row>
    <row r="19" spans="1:10" x14ac:dyDescent="0.2">
      <c r="A19" s="654"/>
      <c r="B19" s="655">
        <f>IFERROR(IF(Prêt_Non_Payé*Valeurs_Entrées,Numéro_Paiement,""), "")</f>
        <v>7</v>
      </c>
      <c r="C19" s="656">
        <f>IFERROR(IF(Prêt_Non_Payé*Valeurs_Entrées,Date_Paiement,""), "")</f>
        <v>45139</v>
      </c>
      <c r="D19" s="657">
        <f>IFERROR(IF(Prêt_Non_Payé*Valeurs_Entrées,Solde_Départ,""), "")</f>
        <v>349414.71489732293</v>
      </c>
      <c r="E19" s="657">
        <f>IFERROR(IF(Prêt_Non_Payé*Valeurs_Entrées,Mensualité,""), "")</f>
        <v>4467.9715970246652</v>
      </c>
      <c r="F19" s="657">
        <f>IFERROR(IF(Prêt_Non_Payé*Valeurs_Entrées,Capital,""), "")</f>
        <v>3361.4916665164747</v>
      </c>
      <c r="G19" s="657">
        <f>IFERROR(IF(Prêt_Non_Payé*Valeurs_Entrées,Intérêts,""), "")</f>
        <v>1106.4799305081908</v>
      </c>
      <c r="H19" s="658">
        <f>IFERROR(IF(Prêt_Non_Payé*Valeurs_Entrées,Solde_Final,""), "")</f>
        <v>346053.2232308063</v>
      </c>
    </row>
    <row r="20" spans="1:10" x14ac:dyDescent="0.2">
      <c r="A20" s="654"/>
      <c r="B20" s="655">
        <f>IFERROR(IF(Prêt_Non_Payé*Valeurs_Entrées,Numéro_Paiement,""), "")</f>
        <v>8</v>
      </c>
      <c r="C20" s="656">
        <f>IFERROR(IF(Prêt_Non_Payé*Valeurs_Entrées,Date_Paiement,""), "")</f>
        <v>45170</v>
      </c>
      <c r="D20" s="657">
        <f>IFERROR(IF(Prêt_Non_Payé*Valeurs_Entrées,Solde_Départ,""), "")</f>
        <v>346053.2232308063</v>
      </c>
      <c r="E20" s="657">
        <f>IFERROR(IF(Prêt_Non_Payé*Valeurs_Entrées,Mensualité,""), "")</f>
        <v>4467.9715970246652</v>
      </c>
      <c r="F20" s="657">
        <f>IFERROR(IF(Prêt_Non_Payé*Valeurs_Entrées,Capital,""), "")</f>
        <v>3372.1363901271097</v>
      </c>
      <c r="G20" s="657">
        <f>IFERROR(IF(Prêt_Non_Payé*Valeurs_Entrées,Intérêts,""), "")</f>
        <v>1095.8352068975557</v>
      </c>
      <c r="H20" s="658">
        <f>IFERROR(IF(Prêt_Non_Payé*Valeurs_Entrées,Solde_Final,""), "")</f>
        <v>342681.08684067917</v>
      </c>
    </row>
    <row r="21" spans="1:10" x14ac:dyDescent="0.2">
      <c r="A21" s="654"/>
      <c r="B21" s="655">
        <f>IFERROR(IF(Prêt_Non_Payé*Valeurs_Entrées,Numéro_Paiement,""), "")</f>
        <v>9</v>
      </c>
      <c r="C21" s="656">
        <f>IFERROR(IF(Prêt_Non_Payé*Valeurs_Entrées,Date_Paiement,""), "")</f>
        <v>45200</v>
      </c>
      <c r="D21" s="657">
        <f>IFERROR(IF(Prêt_Non_Payé*Valeurs_Entrées,Solde_Départ,""), "")</f>
        <v>342681.08684067917</v>
      </c>
      <c r="E21" s="657">
        <f>IFERROR(IF(Prêt_Non_Payé*Valeurs_Entrées,Mensualité,""), "")</f>
        <v>4467.9715970246652</v>
      </c>
      <c r="F21" s="657">
        <f>IFERROR(IF(Prêt_Non_Payé*Valeurs_Entrées,Capital,""), "")</f>
        <v>3382.8148220291791</v>
      </c>
      <c r="G21" s="657">
        <f>IFERROR(IF(Prêt_Non_Payé*Valeurs_Entrées,Intérêts,""), "")</f>
        <v>1085.1567749954861</v>
      </c>
      <c r="H21" s="658">
        <f>IFERROR(IF(Prêt_Non_Payé*Valeurs_Entrées,Solde_Final,""), "")</f>
        <v>339298.27201864991</v>
      </c>
    </row>
    <row r="22" spans="1:10" x14ac:dyDescent="0.2">
      <c r="A22" s="654"/>
      <c r="B22" s="655">
        <f>IFERROR(IF(Prêt_Non_Payé*Valeurs_Entrées,Numéro_Paiement,""), "")</f>
        <v>10</v>
      </c>
      <c r="C22" s="656">
        <f>IFERROR(IF(Prêt_Non_Payé*Valeurs_Entrées,Date_Paiement,""), "")</f>
        <v>45231</v>
      </c>
      <c r="D22" s="657">
        <f>IFERROR(IF(Prêt_Non_Payé*Valeurs_Entrées,Solde_Départ,""), "")</f>
        <v>339298.27201864991</v>
      </c>
      <c r="E22" s="657">
        <f>IFERROR(IF(Prêt_Non_Payé*Valeurs_Entrées,Mensualité,""), "")</f>
        <v>4467.9715970246652</v>
      </c>
      <c r="F22" s="657">
        <f>IFERROR(IF(Prêt_Non_Payé*Valeurs_Entrées,Capital,""), "")</f>
        <v>3393.5270689656045</v>
      </c>
      <c r="G22" s="657">
        <f>IFERROR(IF(Prêt_Non_Payé*Valeurs_Entrées,Intérêts,""), "")</f>
        <v>1074.4445280590603</v>
      </c>
      <c r="H22" s="658">
        <f>IFERROR(IF(Prêt_Non_Payé*Valeurs_Entrées,Solde_Final,""), "")</f>
        <v>335904.74494968436</v>
      </c>
    </row>
    <row r="23" spans="1:10" ht="16" thickBot="1" x14ac:dyDescent="0.25">
      <c r="A23" s="659"/>
      <c r="B23" s="660">
        <f>IFERROR(IF(Prêt_Non_Payé*Valeurs_Entrées,Numéro_Paiement,""), "")</f>
        <v>11</v>
      </c>
      <c r="C23" s="661">
        <f>IFERROR(IF(Prêt_Non_Payé*Valeurs_Entrées,Date_Paiement,""), "")</f>
        <v>45261</v>
      </c>
      <c r="D23" s="662">
        <f>IFERROR(IF(Prêt_Non_Payé*Valeurs_Entrées,Solde_Départ,""), "")</f>
        <v>335904.74494968436</v>
      </c>
      <c r="E23" s="662">
        <f>IFERROR(IF(Prêt_Non_Payé*Valeurs_Entrées,Mensualité,""), "")</f>
        <v>4467.9715970246652</v>
      </c>
      <c r="F23" s="662">
        <f>IFERROR(IF(Prêt_Non_Payé*Valeurs_Entrées,Capital,""), "")</f>
        <v>3404.2732380173288</v>
      </c>
      <c r="G23" s="662">
        <f>IFERROR(IF(Prêt_Non_Payé*Valeurs_Entrées,Intérêts,""), "")</f>
        <v>1063.698359007336</v>
      </c>
      <c r="H23" s="663">
        <f>IFERROR(IF(Prêt_Non_Payé*Valeurs_Entrées,Solde_Final,""), "")</f>
        <v>332500.47171166679</v>
      </c>
      <c r="J23" s="664">
        <f>SUM(G13:G24)</f>
        <v>13339.077439359397</v>
      </c>
    </row>
    <row r="24" spans="1:10" x14ac:dyDescent="0.2">
      <c r="A24" s="649"/>
      <c r="B24" s="650">
        <f>IFERROR(IF(Prêt_Non_Payé*Valeurs_Entrées,Numéro_Paiement,""), "")</f>
        <v>12</v>
      </c>
      <c r="C24" s="651">
        <f>IFERROR(IF(Prêt_Non_Payé*Valeurs_Entrées,Date_Paiement,""), "")</f>
        <v>45292</v>
      </c>
      <c r="D24" s="652">
        <f>IFERROR(IF(Prêt_Non_Payé*Valeurs_Entrées,Solde_Départ,""), "")</f>
        <v>332500.47171166679</v>
      </c>
      <c r="E24" s="652">
        <f>IFERROR(IF(Prêt_Non_Payé*Valeurs_Entrées,Mensualité,""), "")</f>
        <v>4467.9715970246652</v>
      </c>
      <c r="F24" s="652">
        <f>IFERROR(IF(Prêt_Non_Payé*Valeurs_Entrées,Capital,""), "")</f>
        <v>3415.0534366043844</v>
      </c>
      <c r="G24" s="652">
        <f>IFERROR(IF(Prêt_Non_Payé*Valeurs_Entrées,Intérêts,""), "")</f>
        <v>1052.9181604202811</v>
      </c>
      <c r="H24" s="653">
        <f>IFERROR(IF(Prêt_Non_Payé*Valeurs_Entrées,Solde_Final,""), "")</f>
        <v>329085.4182750624</v>
      </c>
    </row>
    <row r="25" spans="1:10" x14ac:dyDescent="0.2">
      <c r="A25" s="654"/>
      <c r="B25" s="655">
        <f>IFERROR(IF(Prêt_Non_Payé*Valeurs_Entrées,Numéro_Paiement,""), "")</f>
        <v>13</v>
      </c>
      <c r="C25" s="656">
        <f>IFERROR(IF(Prêt_Non_Payé*Valeurs_Entrées,Date_Paiement,""), "")</f>
        <v>45323</v>
      </c>
      <c r="D25" s="657">
        <f>IFERROR(IF(Prêt_Non_Payé*Valeurs_Entrées,Solde_Départ,""), "")</f>
        <v>329085.4182750624</v>
      </c>
      <c r="E25" s="657">
        <f>IFERROR(IF(Prêt_Non_Payé*Valeurs_Entrées,Mensualité,""), "")</f>
        <v>4467.9715970246652</v>
      </c>
      <c r="F25" s="657">
        <f>IFERROR(IF(Prêt_Non_Payé*Valeurs_Entrées,Capital,""), "")</f>
        <v>3425.8677724869649</v>
      </c>
      <c r="G25" s="657">
        <f>IFERROR(IF(Prêt_Non_Payé*Valeurs_Entrées,Intérêts,""), "")</f>
        <v>1042.1038245377008</v>
      </c>
      <c r="H25" s="658">
        <f>IFERROR(IF(Prêt_Non_Payé*Valeurs_Entrées,Solde_Final,""), "")</f>
        <v>325659.55050257535</v>
      </c>
    </row>
    <row r="26" spans="1:10" x14ac:dyDescent="0.2">
      <c r="A26" s="654"/>
      <c r="B26" s="655">
        <f>IFERROR(IF(Prêt_Non_Payé*Valeurs_Entrées,Numéro_Paiement,""), "")</f>
        <v>14</v>
      </c>
      <c r="C26" s="656">
        <f>IFERROR(IF(Prêt_Non_Payé*Valeurs_Entrées,Date_Paiement,""), "")</f>
        <v>45352</v>
      </c>
      <c r="D26" s="657">
        <f>IFERROR(IF(Prêt_Non_Payé*Valeurs_Entrées,Solde_Départ,""), "")</f>
        <v>325659.55050257535</v>
      </c>
      <c r="E26" s="657">
        <f>IFERROR(IF(Prêt_Non_Payé*Valeurs_Entrées,Mensualité,""), "")</f>
        <v>4467.9715970246652</v>
      </c>
      <c r="F26" s="657">
        <f>IFERROR(IF(Prêt_Non_Payé*Valeurs_Entrées,Capital,""), "")</f>
        <v>3436.7163537665069</v>
      </c>
      <c r="G26" s="657">
        <f>IFERROR(IF(Prêt_Non_Payé*Valeurs_Entrées,Intérêts,""), "")</f>
        <v>1031.2552432581585</v>
      </c>
      <c r="H26" s="658">
        <f>IFERROR(IF(Prêt_Non_Payé*Valeurs_Entrées,Solde_Final,""), "")</f>
        <v>322222.83414880873</v>
      </c>
    </row>
    <row r="27" spans="1:10" x14ac:dyDescent="0.2">
      <c r="A27" s="654"/>
      <c r="B27" s="655">
        <f>IFERROR(IF(Prêt_Non_Payé*Valeurs_Entrées,Numéro_Paiement,""), "")</f>
        <v>15</v>
      </c>
      <c r="C27" s="656">
        <f>IFERROR(IF(Prêt_Non_Payé*Valeurs_Entrées,Date_Paiement,""), "")</f>
        <v>45383</v>
      </c>
      <c r="D27" s="657">
        <f>IFERROR(IF(Prêt_Non_Payé*Valeurs_Entrées,Solde_Départ,""), "")</f>
        <v>322222.83414880873</v>
      </c>
      <c r="E27" s="657">
        <f>IFERROR(IF(Prêt_Non_Payé*Valeurs_Entrées,Mensualité,""), "")</f>
        <v>4467.9715970246652</v>
      </c>
      <c r="F27" s="657">
        <f>IFERROR(IF(Prêt_Non_Payé*Valeurs_Entrées,Capital,""), "")</f>
        <v>3447.5992888867677</v>
      </c>
      <c r="G27" s="657">
        <f>IFERROR(IF(Prêt_Non_Payé*Valeurs_Entrées,Intérêts,""), "")</f>
        <v>1020.3723081378978</v>
      </c>
      <c r="H27" s="658">
        <f>IFERROR(IF(Prêt_Non_Payé*Valeurs_Entrées,Solde_Final,""), "")</f>
        <v>318775.23485992174</v>
      </c>
    </row>
    <row r="28" spans="1:10" x14ac:dyDescent="0.2">
      <c r="A28" s="654"/>
      <c r="B28" s="655">
        <f>IFERROR(IF(Prêt_Non_Payé*Valeurs_Entrées,Numéro_Paiement,""), "")</f>
        <v>16</v>
      </c>
      <c r="C28" s="656">
        <f>IFERROR(IF(Prêt_Non_Payé*Valeurs_Entrées,Date_Paiement,""), "")</f>
        <v>45413</v>
      </c>
      <c r="D28" s="657">
        <f>IFERROR(IF(Prêt_Non_Payé*Valeurs_Entrées,Solde_Départ,""), "")</f>
        <v>318775.23485992174</v>
      </c>
      <c r="E28" s="657">
        <f>IFERROR(IF(Prêt_Non_Payé*Valeurs_Entrées,Mensualité,""), "")</f>
        <v>4467.9715970246652</v>
      </c>
      <c r="F28" s="657">
        <f>IFERROR(IF(Prêt_Non_Payé*Valeurs_Entrées,Capital,""), "")</f>
        <v>3458.5166866349086</v>
      </c>
      <c r="G28" s="657">
        <f>IFERROR(IF(Prêt_Non_Payé*Valeurs_Entrées,Intérêts,""), "")</f>
        <v>1009.4549103897564</v>
      </c>
      <c r="H28" s="658">
        <f>IFERROR(IF(Prêt_Non_Payé*Valeurs_Entrées,Solde_Final,""), "")</f>
        <v>315316.71817328682</v>
      </c>
    </row>
    <row r="29" spans="1:10" x14ac:dyDescent="0.2">
      <c r="A29" s="654"/>
      <c r="B29" s="655">
        <f>IFERROR(IF(Prêt_Non_Payé*Valeurs_Entrées,Numéro_Paiement,""), "")</f>
        <v>17</v>
      </c>
      <c r="C29" s="656">
        <f>IFERROR(IF(Prêt_Non_Payé*Valeurs_Entrées,Date_Paiement,""), "")</f>
        <v>45444</v>
      </c>
      <c r="D29" s="657">
        <f>IFERROR(IF(Prêt_Non_Payé*Valeurs_Entrées,Solde_Départ,""), "")</f>
        <v>315316.71817328682</v>
      </c>
      <c r="E29" s="657">
        <f>IFERROR(IF(Prêt_Non_Payé*Valeurs_Entrées,Mensualité,""), "")</f>
        <v>4467.9715970246652</v>
      </c>
      <c r="F29" s="657">
        <f>IFERROR(IF(Prêt_Non_Payé*Valeurs_Entrées,Capital,""), "")</f>
        <v>3469.468656142586</v>
      </c>
      <c r="G29" s="657">
        <f>IFERROR(IF(Prêt_Non_Payé*Valeurs_Entrées,Intérêts,""), "")</f>
        <v>998.50294088207932</v>
      </c>
      <c r="H29" s="658">
        <f>IFERROR(IF(Prêt_Non_Payé*Valeurs_Entrées,Solde_Final,""), "")</f>
        <v>311847.24951714417</v>
      </c>
    </row>
    <row r="30" spans="1:10" x14ac:dyDescent="0.2">
      <c r="A30" s="654"/>
      <c r="B30" s="655">
        <f>IFERROR(IF(Prêt_Non_Payé*Valeurs_Entrées,Numéro_Paiement,""), "")</f>
        <v>18</v>
      </c>
      <c r="C30" s="656">
        <f>IFERROR(IF(Prêt_Non_Payé*Valeurs_Entrées,Date_Paiement,""), "")</f>
        <v>45474</v>
      </c>
      <c r="D30" s="657">
        <f>IFERROR(IF(Prêt_Non_Payé*Valeurs_Entrées,Solde_Départ,""), "")</f>
        <v>311847.24951714417</v>
      </c>
      <c r="E30" s="657">
        <f>IFERROR(IF(Prêt_Non_Payé*Valeurs_Entrées,Mensualité,""), "")</f>
        <v>4467.9715970246652</v>
      </c>
      <c r="F30" s="657">
        <f>IFERROR(IF(Prêt_Non_Payé*Valeurs_Entrées,Capital,""), "")</f>
        <v>3480.4553068870378</v>
      </c>
      <c r="G30" s="657">
        <f>IFERROR(IF(Prêt_Non_Payé*Valeurs_Entrées,Intérêts,""), "")</f>
        <v>987.51629013762783</v>
      </c>
      <c r="H30" s="658">
        <f>IFERROR(IF(Prêt_Non_Payé*Valeurs_Entrées,Solde_Final,""), "")</f>
        <v>308366.79421025701</v>
      </c>
    </row>
    <row r="31" spans="1:10" x14ac:dyDescent="0.2">
      <c r="A31" s="654"/>
      <c r="B31" s="655">
        <f>IFERROR(IF(Prêt_Non_Payé*Valeurs_Entrées,Numéro_Paiement,""), "")</f>
        <v>19</v>
      </c>
      <c r="C31" s="656">
        <f>IFERROR(IF(Prêt_Non_Payé*Valeurs_Entrées,Date_Paiement,""), "")</f>
        <v>45505</v>
      </c>
      <c r="D31" s="657">
        <f>IFERROR(IF(Prêt_Non_Payé*Valeurs_Entrées,Solde_Départ,""), "")</f>
        <v>308366.79421025701</v>
      </c>
      <c r="E31" s="657">
        <f>IFERROR(IF(Prêt_Non_Payé*Valeurs_Entrées,Mensualité,""), "")</f>
        <v>4467.9715970246652</v>
      </c>
      <c r="F31" s="657">
        <f>IFERROR(IF(Prêt_Non_Payé*Valeurs_Entrées,Capital,""), "")</f>
        <v>3491.4767486921796</v>
      </c>
      <c r="G31" s="657">
        <f>IFERROR(IF(Prêt_Non_Payé*Valeurs_Entrées,Intérêts,""), "")</f>
        <v>976.4948483324855</v>
      </c>
      <c r="H31" s="658">
        <f>IFERROR(IF(Prêt_Non_Payé*Valeurs_Entrées,Solde_Final,""), "")</f>
        <v>304875.31746156467</v>
      </c>
    </row>
    <row r="32" spans="1:10" x14ac:dyDescent="0.2">
      <c r="A32" s="654"/>
      <c r="B32" s="655">
        <f>IFERROR(IF(Prêt_Non_Payé*Valeurs_Entrées,Numéro_Paiement,""), "")</f>
        <v>20</v>
      </c>
      <c r="C32" s="656">
        <f>IFERROR(IF(Prêt_Non_Payé*Valeurs_Entrées,Date_Paiement,""), "")</f>
        <v>45536</v>
      </c>
      <c r="D32" s="657">
        <f>IFERROR(IF(Prêt_Non_Payé*Valeurs_Entrées,Solde_Départ,""), "")</f>
        <v>304875.31746156467</v>
      </c>
      <c r="E32" s="657">
        <f>IFERROR(IF(Prêt_Non_Payé*Valeurs_Entrées,Mensualité,""), "")</f>
        <v>4467.9715970246652</v>
      </c>
      <c r="F32" s="657">
        <f>IFERROR(IF(Prêt_Non_Payé*Valeurs_Entrées,Capital,""), "")</f>
        <v>3502.5330917297056</v>
      </c>
      <c r="G32" s="657">
        <f>IFERROR(IF(Prêt_Non_Payé*Valeurs_Entrées,Intérêts,""), "")</f>
        <v>965.43850529496035</v>
      </c>
      <c r="H32" s="658">
        <f>IFERROR(IF(Prêt_Non_Payé*Valeurs_Entrées,Solde_Final,""), "")</f>
        <v>301372.78436983476</v>
      </c>
    </row>
    <row r="33" spans="1:10" x14ac:dyDescent="0.2">
      <c r="A33" s="654"/>
      <c r="B33" s="655">
        <f>IFERROR(IF(Prêt_Non_Payé*Valeurs_Entrées,Numéro_Paiement,""), "")</f>
        <v>21</v>
      </c>
      <c r="C33" s="656">
        <f>IFERROR(IF(Prêt_Non_Payé*Valeurs_Entrées,Date_Paiement,""), "")</f>
        <v>45566</v>
      </c>
      <c r="D33" s="657">
        <f>IFERROR(IF(Prêt_Non_Payé*Valeurs_Entrées,Solde_Départ,""), "")</f>
        <v>301372.78436983476</v>
      </c>
      <c r="E33" s="657">
        <f>IFERROR(IF(Prêt_Non_Payé*Valeurs_Entrées,Mensualité,""), "")</f>
        <v>4467.9715970246652</v>
      </c>
      <c r="F33" s="657">
        <f>IFERROR(IF(Prêt_Non_Payé*Valeurs_Entrées,Capital,""), "")</f>
        <v>3513.624446520183</v>
      </c>
      <c r="G33" s="657">
        <f>IFERROR(IF(Prêt_Non_Payé*Valeurs_Entrées,Intérêts,""), "")</f>
        <v>954.34715050448301</v>
      </c>
      <c r="H33" s="658">
        <f>IFERROR(IF(Prêt_Non_Payé*Valeurs_Entrées,Solde_Final,""), "")</f>
        <v>297859.1599233147</v>
      </c>
    </row>
    <row r="34" spans="1:10" x14ac:dyDescent="0.2">
      <c r="A34" s="654"/>
      <c r="B34" s="655">
        <f>IFERROR(IF(Prêt_Non_Payé*Valeurs_Entrées,Numéro_Paiement,""), "")</f>
        <v>22</v>
      </c>
      <c r="C34" s="656">
        <f>IFERROR(IF(Prêt_Non_Payé*Valeurs_Entrées,Date_Paiement,""), "")</f>
        <v>45597</v>
      </c>
      <c r="D34" s="657">
        <f>IFERROR(IF(Prêt_Non_Payé*Valeurs_Entrées,Solde_Départ,""), "")</f>
        <v>297859.1599233147</v>
      </c>
      <c r="E34" s="657">
        <f>IFERROR(IF(Prêt_Non_Payé*Valeurs_Entrées,Mensualité,""), "")</f>
        <v>4467.9715970246652</v>
      </c>
      <c r="F34" s="657">
        <f>IFERROR(IF(Prêt_Non_Payé*Valeurs_Entrées,Capital,""), "")</f>
        <v>3524.7509239341634</v>
      </c>
      <c r="G34" s="657">
        <f>IFERROR(IF(Prêt_Non_Payé*Valeurs_Entrées,Intérêts,""), "")</f>
        <v>943.22067309050237</v>
      </c>
      <c r="H34" s="658">
        <f>IFERROR(IF(Prêt_Non_Payé*Valeurs_Entrées,Solde_Final,""), "")</f>
        <v>294334.40899938042</v>
      </c>
      <c r="J34" s="664"/>
    </row>
    <row r="35" spans="1:10" ht="16" thickBot="1" x14ac:dyDescent="0.25">
      <c r="A35" s="659"/>
      <c r="B35" s="660">
        <f>IFERROR(IF(Prêt_Non_Payé*Valeurs_Entrées,Numéro_Paiement,""), "")</f>
        <v>23</v>
      </c>
      <c r="C35" s="661">
        <f>IFERROR(IF(Prêt_Non_Payé*Valeurs_Entrées,Date_Paiement,""), "")</f>
        <v>45627</v>
      </c>
      <c r="D35" s="662">
        <f>IFERROR(IF(Prêt_Non_Payé*Valeurs_Entrées,Solde_Départ,""), "")</f>
        <v>294334.40899938042</v>
      </c>
      <c r="E35" s="662">
        <f>IFERROR(IF(Prêt_Non_Payé*Valeurs_Entrées,Mensualité,""), "")</f>
        <v>4467.9715970246652</v>
      </c>
      <c r="F35" s="662">
        <f>IFERROR(IF(Prêt_Non_Payé*Valeurs_Entrées,Capital,""), "")</f>
        <v>3535.9126351932882</v>
      </c>
      <c r="G35" s="662">
        <f>IFERROR(IF(Prêt_Non_Payé*Valeurs_Entrées,Intérêts,""), "")</f>
        <v>932.05896183137759</v>
      </c>
      <c r="H35" s="663">
        <f>IFERROR(IF(Prêt_Non_Payé*Valeurs_Entrées,Solde_Final,""), "")</f>
        <v>290798.49636418687</v>
      </c>
      <c r="J35" s="664">
        <f>SUM(G24:G35)</f>
        <v>11913.683816817309</v>
      </c>
    </row>
    <row r="36" spans="1:10" x14ac:dyDescent="0.2">
      <c r="A36" s="649"/>
      <c r="B36" s="650">
        <f>IFERROR(IF(Prêt_Non_Payé*Valeurs_Entrées,Numéro_Paiement,""), "")</f>
        <v>24</v>
      </c>
      <c r="C36" s="651">
        <f>IFERROR(IF(Prêt_Non_Payé*Valeurs_Entrées,Date_Paiement,""), "")</f>
        <v>45658</v>
      </c>
      <c r="D36" s="652">
        <f>IFERROR(IF(Prêt_Non_Payé*Valeurs_Entrées,Solde_Départ,""), "")</f>
        <v>290798.49636418687</v>
      </c>
      <c r="E36" s="652">
        <f>IFERROR(IF(Prêt_Non_Payé*Valeurs_Entrées,Mensualité,""), "")</f>
        <v>4467.9715970246652</v>
      </c>
      <c r="F36" s="652">
        <f>IFERROR(IF(Prêt_Non_Payé*Valeurs_Entrées,Capital,""), "")</f>
        <v>3547.1096918714002</v>
      </c>
      <c r="G36" s="652">
        <f>IFERROR(IF(Prêt_Non_Payé*Valeurs_Entrées,Intérêts,""), "")</f>
        <v>920.86190515326541</v>
      </c>
      <c r="H36" s="653">
        <f>IFERROR(IF(Prêt_Non_Payé*Valeurs_Entrées,Solde_Final,""), "")</f>
        <v>287251.38667231554</v>
      </c>
    </row>
    <row r="37" spans="1:10" x14ac:dyDescent="0.2">
      <c r="A37" s="654"/>
      <c r="B37" s="655">
        <f>IFERROR(IF(Prêt_Non_Payé*Valeurs_Entrées,Numéro_Paiement,""), "")</f>
        <v>25</v>
      </c>
      <c r="C37" s="656">
        <f>IFERROR(IF(Prêt_Non_Payé*Valeurs_Entrées,Date_Paiement,""), "")</f>
        <v>45689</v>
      </c>
      <c r="D37" s="657">
        <f>IFERROR(IF(Prêt_Non_Payé*Valeurs_Entrées,Solde_Départ,""), "")</f>
        <v>287251.38667231554</v>
      </c>
      <c r="E37" s="657">
        <f>IFERROR(IF(Prêt_Non_Payé*Valeurs_Entrées,Mensualité,""), "")</f>
        <v>4467.9715970246652</v>
      </c>
      <c r="F37" s="657">
        <f>IFERROR(IF(Prêt_Non_Payé*Valeurs_Entrées,Capital,""), "")</f>
        <v>3558.3422058956594</v>
      </c>
      <c r="G37" s="657">
        <f>IFERROR(IF(Prêt_Non_Payé*Valeurs_Entrées,Intérêts,""), "")</f>
        <v>909.62939112900597</v>
      </c>
      <c r="H37" s="658">
        <f>IFERROR(IF(Prêt_Non_Payé*Valeurs_Entrées,Solde_Final,""), "")</f>
        <v>283693.04446641961</v>
      </c>
    </row>
    <row r="38" spans="1:10" x14ac:dyDescent="0.2">
      <c r="A38" s="654"/>
      <c r="B38" s="655">
        <f>IFERROR(IF(Prêt_Non_Payé*Valeurs_Entrées,Numéro_Paiement,""), "")</f>
        <v>26</v>
      </c>
      <c r="C38" s="656">
        <f>IFERROR(IF(Prêt_Non_Payé*Valeurs_Entrées,Date_Paiement,""), "")</f>
        <v>45717</v>
      </c>
      <c r="D38" s="657">
        <f>IFERROR(IF(Prêt_Non_Payé*Valeurs_Entrées,Solde_Départ,""), "")</f>
        <v>283693.04446641961</v>
      </c>
      <c r="E38" s="657">
        <f>IFERROR(IF(Prêt_Non_Payé*Valeurs_Entrées,Mensualité,""), "")</f>
        <v>4467.9715970246652</v>
      </c>
      <c r="F38" s="657">
        <f>IFERROR(IF(Prêt_Non_Payé*Valeurs_Entrées,Capital,""), "")</f>
        <v>3569.6102895476624</v>
      </c>
      <c r="G38" s="657">
        <f>IFERROR(IF(Prêt_Non_Payé*Valeurs_Entrées,Intérêts,""), "")</f>
        <v>898.36130747700292</v>
      </c>
      <c r="H38" s="658">
        <f>IFERROR(IF(Prêt_Non_Payé*Valeurs_Entrées,Solde_Final,""), "")</f>
        <v>280123.43417687202</v>
      </c>
    </row>
    <row r="39" spans="1:10" x14ac:dyDescent="0.2">
      <c r="A39" s="654"/>
      <c r="B39" s="655">
        <f>IFERROR(IF(Prêt_Non_Payé*Valeurs_Entrées,Numéro_Paiement,""), "")</f>
        <v>27</v>
      </c>
      <c r="C39" s="656">
        <f>IFERROR(IF(Prêt_Non_Payé*Valeurs_Entrées,Date_Paiement,""), "")</f>
        <v>45748</v>
      </c>
      <c r="D39" s="657">
        <f>IFERROR(IF(Prêt_Non_Payé*Valeurs_Entrées,Solde_Départ,""), "")</f>
        <v>280123.43417687202</v>
      </c>
      <c r="E39" s="657">
        <f>IFERROR(IF(Prêt_Non_Payé*Valeurs_Entrées,Mensualité,""), "")</f>
        <v>4467.9715970246652</v>
      </c>
      <c r="F39" s="657">
        <f>IFERROR(IF(Prêt_Non_Payé*Valeurs_Entrées,Capital,""), "")</f>
        <v>3580.9140554645633</v>
      </c>
      <c r="G39" s="657">
        <f>IFERROR(IF(Prêt_Non_Payé*Valeurs_Entrées,Intérêts,""), "")</f>
        <v>887.05754156010209</v>
      </c>
      <c r="H39" s="658">
        <f>IFERROR(IF(Prêt_Non_Payé*Valeurs_Entrées,Solde_Final,""), "")</f>
        <v>276542.5201214074</v>
      </c>
    </row>
    <row r="40" spans="1:10" x14ac:dyDescent="0.2">
      <c r="A40" s="654"/>
      <c r="B40" s="655">
        <f>IFERROR(IF(Prêt_Non_Payé*Valeurs_Entrées,Numéro_Paiement,""), "")</f>
        <v>28</v>
      </c>
      <c r="C40" s="656">
        <f>IFERROR(IF(Prêt_Non_Payé*Valeurs_Entrées,Date_Paiement,""), "")</f>
        <v>45778</v>
      </c>
      <c r="D40" s="657">
        <f>IFERROR(IF(Prêt_Non_Payé*Valeurs_Entrées,Solde_Départ,""), "")</f>
        <v>276542.5201214074</v>
      </c>
      <c r="E40" s="657">
        <f>IFERROR(IF(Prêt_Non_Payé*Valeurs_Entrées,Mensualité,""), "")</f>
        <v>4467.9715970246652</v>
      </c>
      <c r="F40" s="657">
        <f>IFERROR(IF(Prêt_Non_Payé*Valeurs_Entrées,Capital,""), "")</f>
        <v>3592.253616640201</v>
      </c>
      <c r="G40" s="657">
        <f>IFERROR(IF(Prêt_Non_Payé*Valeurs_Entrées,Intérêts,""), "")</f>
        <v>875.71798038446434</v>
      </c>
      <c r="H40" s="658">
        <f>IFERROR(IF(Prêt_Non_Payé*Valeurs_Entrées,Solde_Final,""), "")</f>
        <v>272950.26650476712</v>
      </c>
    </row>
    <row r="41" spans="1:10" x14ac:dyDescent="0.2">
      <c r="A41" s="654"/>
      <c r="B41" s="655">
        <f>IFERROR(IF(Prêt_Non_Payé*Valeurs_Entrées,Numéro_Paiement,""), "")</f>
        <v>29</v>
      </c>
      <c r="C41" s="656">
        <f>IFERROR(IF(Prêt_Non_Payé*Valeurs_Entrées,Date_Paiement,""), "")</f>
        <v>45809</v>
      </c>
      <c r="D41" s="657">
        <f>IFERROR(IF(Prêt_Non_Payé*Valeurs_Entrées,Solde_Départ,""), "")</f>
        <v>272950.26650476712</v>
      </c>
      <c r="E41" s="657">
        <f>IFERROR(IF(Prêt_Non_Payé*Valeurs_Entrées,Mensualité,""), "")</f>
        <v>4467.9715970246652</v>
      </c>
      <c r="F41" s="657">
        <f>IFERROR(IF(Prêt_Non_Payé*Valeurs_Entrées,Capital,""), "")</f>
        <v>3603.6290864262287</v>
      </c>
      <c r="G41" s="657">
        <f>IFERROR(IF(Prêt_Non_Payé*Valeurs_Entrées,Intérêts,""), "")</f>
        <v>864.34251059843712</v>
      </c>
      <c r="H41" s="658">
        <f>IFERROR(IF(Prêt_Non_Payé*Valeurs_Entrées,Solde_Final,""), "")</f>
        <v>269346.63741834072</v>
      </c>
    </row>
    <row r="42" spans="1:10" x14ac:dyDescent="0.2">
      <c r="A42" s="654"/>
      <c r="B42" s="655">
        <f>IFERROR(IF(Prêt_Non_Payé*Valeurs_Entrées,Numéro_Paiement,""), "")</f>
        <v>30</v>
      </c>
      <c r="C42" s="656">
        <f>IFERROR(IF(Prêt_Non_Payé*Valeurs_Entrées,Date_Paiement,""), "")</f>
        <v>45839</v>
      </c>
      <c r="D42" s="657">
        <f>IFERROR(IF(Prêt_Non_Payé*Valeurs_Entrées,Solde_Départ,""), "")</f>
        <v>269346.63741834072</v>
      </c>
      <c r="E42" s="657">
        <f>IFERROR(IF(Prêt_Non_Payé*Valeurs_Entrées,Mensualité,""), "")</f>
        <v>4467.9715970246652</v>
      </c>
      <c r="F42" s="657">
        <f>IFERROR(IF(Prêt_Non_Payé*Valeurs_Entrées,Capital,""), "")</f>
        <v>3615.0405785332446</v>
      </c>
      <c r="G42" s="657">
        <f>IFERROR(IF(Prêt_Non_Payé*Valeurs_Entrées,Intérêts,""), "")</f>
        <v>852.93101849142067</v>
      </c>
      <c r="H42" s="658">
        <f>IFERROR(IF(Prêt_Non_Payé*Valeurs_Entrées,Solde_Final,""), "")</f>
        <v>265731.59683980735</v>
      </c>
    </row>
    <row r="43" spans="1:10" x14ac:dyDescent="0.2">
      <c r="A43" s="654"/>
      <c r="B43" s="655">
        <f>IFERROR(IF(Prêt_Non_Payé*Valeurs_Entrées,Numéro_Paiement,""), "")</f>
        <v>31</v>
      </c>
      <c r="C43" s="656">
        <f>IFERROR(IF(Prêt_Non_Payé*Valeurs_Entrées,Date_Paiement,""), "")</f>
        <v>45870</v>
      </c>
      <c r="D43" s="657">
        <f>IFERROR(IF(Prêt_Non_Payé*Valeurs_Entrées,Solde_Départ,""), "")</f>
        <v>265731.59683980735</v>
      </c>
      <c r="E43" s="657">
        <f>IFERROR(IF(Prêt_Non_Payé*Valeurs_Entrées,Mensualité,""), "")</f>
        <v>4467.9715970246652</v>
      </c>
      <c r="F43" s="657">
        <f>IFERROR(IF(Prêt_Non_Payé*Valeurs_Entrées,Capital,""), "")</f>
        <v>3626.4882070319336</v>
      </c>
      <c r="G43" s="657">
        <f>IFERROR(IF(Prêt_Non_Payé*Valeurs_Entrées,Intérêts,""), "")</f>
        <v>841.4833899927321</v>
      </c>
      <c r="H43" s="658">
        <f>IFERROR(IF(Prêt_Non_Payé*Valeurs_Entrées,Solde_Final,""), "")</f>
        <v>262105.10863277508</v>
      </c>
    </row>
    <row r="44" spans="1:10" x14ac:dyDescent="0.2">
      <c r="A44" s="654"/>
      <c r="B44" s="655">
        <f>IFERROR(IF(Prêt_Non_Payé*Valeurs_Entrées,Numéro_Paiement,""), "")</f>
        <v>32</v>
      </c>
      <c r="C44" s="656">
        <f>IFERROR(IF(Prêt_Non_Payé*Valeurs_Entrées,Date_Paiement,""), "")</f>
        <v>45901</v>
      </c>
      <c r="D44" s="657">
        <f>IFERROR(IF(Prêt_Non_Payé*Valeurs_Entrées,Solde_Départ,""), "")</f>
        <v>262105.10863277508</v>
      </c>
      <c r="E44" s="657">
        <f>IFERROR(IF(Prêt_Non_Payé*Valeurs_Entrées,Mensualité,""), "")</f>
        <v>4467.9715970246652</v>
      </c>
      <c r="F44" s="657">
        <f>IFERROR(IF(Prêt_Non_Payé*Valeurs_Entrées,Capital,""), "")</f>
        <v>3637.9720863542016</v>
      </c>
      <c r="G44" s="657">
        <f>IFERROR(IF(Prêt_Non_Payé*Valeurs_Entrées,Intérêts,""), "")</f>
        <v>829.99951067046425</v>
      </c>
      <c r="H44" s="658">
        <f>IFERROR(IF(Prêt_Non_Payé*Valeurs_Entrées,Solde_Final,""), "")</f>
        <v>258467.13654642101</v>
      </c>
    </row>
    <row r="45" spans="1:10" x14ac:dyDescent="0.2">
      <c r="A45" s="654"/>
      <c r="B45" s="655">
        <f>IFERROR(IF(Prêt_Non_Payé*Valeurs_Entrées,Numéro_Paiement,""), "")</f>
        <v>33</v>
      </c>
      <c r="C45" s="656">
        <f>IFERROR(IF(Prêt_Non_Payé*Valeurs_Entrées,Date_Paiement,""), "")</f>
        <v>45931</v>
      </c>
      <c r="D45" s="657">
        <f>IFERROR(IF(Prêt_Non_Payé*Valeurs_Entrées,Solde_Départ,""), "")</f>
        <v>258467.13654642101</v>
      </c>
      <c r="E45" s="657">
        <f>IFERROR(IF(Prêt_Non_Payé*Valeurs_Entrées,Mensualité,""), "")</f>
        <v>4467.9715970246652</v>
      </c>
      <c r="F45" s="657">
        <f>IFERROR(IF(Prêt_Non_Payé*Valeurs_Entrées,Capital,""), "")</f>
        <v>3649.4923312943233</v>
      </c>
      <c r="G45" s="657">
        <f>IFERROR(IF(Prêt_Non_Payé*Valeurs_Entrées,Intérêts,""), "")</f>
        <v>818.4792657303426</v>
      </c>
      <c r="H45" s="658">
        <f>IFERROR(IF(Prêt_Non_Payé*Valeurs_Entrées,Solde_Final,""), "")</f>
        <v>254817.64421512661</v>
      </c>
    </row>
    <row r="46" spans="1:10" x14ac:dyDescent="0.2">
      <c r="A46" s="654"/>
      <c r="B46" s="655">
        <f>IFERROR(IF(Prêt_Non_Payé*Valeurs_Entrées,Numéro_Paiement,""), "")</f>
        <v>34</v>
      </c>
      <c r="C46" s="656">
        <f>IFERROR(IF(Prêt_Non_Payé*Valeurs_Entrées,Date_Paiement,""), "")</f>
        <v>45962</v>
      </c>
      <c r="D46" s="657">
        <f>IFERROR(IF(Prêt_Non_Payé*Valeurs_Entrées,Solde_Départ,""), "")</f>
        <v>254817.64421512661</v>
      </c>
      <c r="E46" s="657">
        <f>IFERROR(IF(Prêt_Non_Payé*Valeurs_Entrées,Mensualité,""), "")</f>
        <v>4467.9715970246652</v>
      </c>
      <c r="F46" s="657">
        <f>IFERROR(IF(Prêt_Non_Payé*Valeurs_Entrées,Capital,""), "")</f>
        <v>3661.0490570100878</v>
      </c>
      <c r="G46" s="657">
        <f>IFERROR(IF(Prêt_Non_Payé*Valeurs_Entrées,Intérêts,""), "")</f>
        <v>806.92254001457718</v>
      </c>
      <c r="H46" s="658">
        <f>IFERROR(IF(Prêt_Non_Payé*Valeurs_Entrées,Solde_Final,""), "")</f>
        <v>251156.59515811643</v>
      </c>
    </row>
    <row r="47" spans="1:10" ht="16" thickBot="1" x14ac:dyDescent="0.25">
      <c r="A47" s="659"/>
      <c r="B47" s="660">
        <f>IFERROR(IF(Prêt_Non_Payé*Valeurs_Entrées,Numéro_Paiement,""), "")</f>
        <v>35</v>
      </c>
      <c r="C47" s="661">
        <f>IFERROR(IF(Prêt_Non_Payé*Valeurs_Entrées,Date_Paiement,""), "")</f>
        <v>45992</v>
      </c>
      <c r="D47" s="662">
        <f>IFERROR(IF(Prêt_Non_Payé*Valeurs_Entrées,Solde_Départ,""), "")</f>
        <v>251156.59515811643</v>
      </c>
      <c r="E47" s="662">
        <f>IFERROR(IF(Prêt_Non_Payé*Valeurs_Entrées,Mensualité,""), "")</f>
        <v>4467.9715970246652</v>
      </c>
      <c r="F47" s="662">
        <f>IFERROR(IF(Prêt_Non_Payé*Valeurs_Entrées,Capital,""), "")</f>
        <v>3672.6423790239533</v>
      </c>
      <c r="G47" s="662">
        <f>IFERROR(IF(Prêt_Non_Payé*Valeurs_Entrées,Intérêts,""), "")</f>
        <v>795.3292180007121</v>
      </c>
      <c r="H47" s="663">
        <f>IFERROR(IF(Prêt_Non_Payé*Valeurs_Entrées,Solde_Final,""), "")</f>
        <v>247483.95277909245</v>
      </c>
      <c r="J47" s="664">
        <f>SUM(G36:G47)</f>
        <v>10301.115579202527</v>
      </c>
    </row>
    <row r="48" spans="1:10" x14ac:dyDescent="0.2">
      <c r="A48" s="649"/>
      <c r="B48" s="650">
        <f>IFERROR(IF(Prêt_Non_Payé*Valeurs_Entrées,Numéro_Paiement,""), "")</f>
        <v>36</v>
      </c>
      <c r="C48" s="651">
        <f>IFERROR(IF(Prêt_Non_Payé*Valeurs_Entrées,Date_Paiement,""), "")</f>
        <v>46023</v>
      </c>
      <c r="D48" s="652">
        <f>IFERROR(IF(Prêt_Non_Payé*Valeurs_Entrées,Solde_Départ,""), "")</f>
        <v>247483.95277909245</v>
      </c>
      <c r="E48" s="652">
        <f>IFERROR(IF(Prêt_Non_Payé*Valeurs_Entrées,Mensualité,""), "")</f>
        <v>4467.9715970246652</v>
      </c>
      <c r="F48" s="652">
        <f>IFERROR(IF(Prêt_Non_Payé*Valeurs_Entrées,Capital,""), "")</f>
        <v>3684.272413224196</v>
      </c>
      <c r="G48" s="652">
        <f>IFERROR(IF(Prêt_Non_Payé*Valeurs_Entrées,Intérêts,""), "")</f>
        <v>783.69918380046943</v>
      </c>
      <c r="H48" s="653">
        <f>IFERROR(IF(Prêt_Non_Payé*Valeurs_Entrées,Solde_Final,""), "")</f>
        <v>243799.68036586812</v>
      </c>
    </row>
    <row r="49" spans="1:10" x14ac:dyDescent="0.2">
      <c r="A49" s="654"/>
      <c r="B49" s="655">
        <f>IFERROR(IF(Prêt_Non_Payé*Valeurs_Entrées,Numéro_Paiement,""), "")</f>
        <v>37</v>
      </c>
      <c r="C49" s="656">
        <f>IFERROR(IF(Prêt_Non_Payé*Valeurs_Entrées,Date_Paiement,""), "")</f>
        <v>46054</v>
      </c>
      <c r="D49" s="657">
        <f>IFERROR(IF(Prêt_Non_Payé*Valeurs_Entrées,Solde_Départ,""), "")</f>
        <v>243799.68036586812</v>
      </c>
      <c r="E49" s="657">
        <f>IFERROR(IF(Prêt_Non_Payé*Valeurs_Entrées,Mensualité,""), "")</f>
        <v>4467.9715970246652</v>
      </c>
      <c r="F49" s="657">
        <f>IFERROR(IF(Prêt_Non_Payé*Valeurs_Entrées,Capital,""), "")</f>
        <v>3695.9392758660729</v>
      </c>
      <c r="G49" s="657">
        <f>IFERROR(IF(Prêt_Non_Payé*Valeurs_Entrées,Intérêts,""), "")</f>
        <v>772.03232115859271</v>
      </c>
      <c r="H49" s="658">
        <f>IFERROR(IF(Prêt_Non_Payé*Valeurs_Entrées,Solde_Final,""), "")</f>
        <v>240103.74109000197</v>
      </c>
    </row>
    <row r="50" spans="1:10" x14ac:dyDescent="0.2">
      <c r="A50" s="654"/>
      <c r="B50" s="655">
        <f>IFERROR(IF(Prêt_Non_Payé*Valeurs_Entrées,Numéro_Paiement,""), "")</f>
        <v>38</v>
      </c>
      <c r="C50" s="656">
        <f>IFERROR(IF(Prêt_Non_Payé*Valeurs_Entrées,Date_Paiement,""), "")</f>
        <v>46082</v>
      </c>
      <c r="D50" s="657">
        <f>IFERROR(IF(Prêt_Non_Payé*Valeurs_Entrées,Solde_Départ,""), "")</f>
        <v>240103.74109000197</v>
      </c>
      <c r="E50" s="657">
        <f>IFERROR(IF(Prêt_Non_Payé*Valeurs_Entrées,Mensualité,""), "")</f>
        <v>4467.9715970246652</v>
      </c>
      <c r="F50" s="657">
        <f>IFERROR(IF(Prêt_Non_Payé*Valeurs_Entrées,Capital,""), "")</f>
        <v>3707.6430835729821</v>
      </c>
      <c r="G50" s="657">
        <f>IFERROR(IF(Prêt_Non_Payé*Valeurs_Entrées,Intérêts,""), "")</f>
        <v>760.32851345168342</v>
      </c>
      <c r="H50" s="658">
        <f>IFERROR(IF(Prêt_Non_Payé*Valeurs_Entrées,Solde_Final,""), "")</f>
        <v>236396.09800642874</v>
      </c>
    </row>
    <row r="51" spans="1:10" x14ac:dyDescent="0.2">
      <c r="A51" s="654"/>
      <c r="B51" s="655">
        <f>IFERROR(IF(Prêt_Non_Payé*Valeurs_Entrées,Numéro_Paiement,""), "")</f>
        <v>39</v>
      </c>
      <c r="C51" s="656">
        <f>IFERROR(IF(Prêt_Non_Payé*Valeurs_Entrées,Date_Paiement,""), "")</f>
        <v>46113</v>
      </c>
      <c r="D51" s="657">
        <f>IFERROR(IF(Prêt_Non_Payé*Valeurs_Entrées,Solde_Départ,""), "")</f>
        <v>236396.09800642874</v>
      </c>
      <c r="E51" s="657">
        <f>IFERROR(IF(Prêt_Non_Payé*Valeurs_Entrées,Mensualité,""), "")</f>
        <v>4467.9715970246652</v>
      </c>
      <c r="F51" s="657">
        <f>IFERROR(IF(Prêt_Non_Payé*Valeurs_Entrées,Capital,""), "")</f>
        <v>3719.3839533376295</v>
      </c>
      <c r="G51" s="657">
        <f>IFERROR(IF(Prêt_Non_Payé*Valeurs_Entrées,Intérêts,""), "")</f>
        <v>748.58764368703578</v>
      </c>
      <c r="H51" s="658">
        <f>IFERROR(IF(Prêt_Non_Payé*Valeurs_Entrées,Solde_Final,""), "")</f>
        <v>232676.71405309101</v>
      </c>
    </row>
    <row r="52" spans="1:10" x14ac:dyDescent="0.2">
      <c r="A52" s="654"/>
      <c r="B52" s="655">
        <f>IFERROR(IF(Prêt_Non_Payé*Valeurs_Entrées,Numéro_Paiement,""), "")</f>
        <v>40</v>
      </c>
      <c r="C52" s="656">
        <f>IFERROR(IF(Prêt_Non_Payé*Valeurs_Entrées,Date_Paiement,""), "")</f>
        <v>46143</v>
      </c>
      <c r="D52" s="657">
        <f>IFERROR(IF(Prêt_Non_Payé*Valeurs_Entrées,Solde_Départ,""), "")</f>
        <v>232676.71405309101</v>
      </c>
      <c r="E52" s="657">
        <f>IFERROR(IF(Prêt_Non_Payé*Valeurs_Entrées,Mensualité,""), "")</f>
        <v>4467.9715970246652</v>
      </c>
      <c r="F52" s="657">
        <f>IFERROR(IF(Prêt_Non_Payé*Valeurs_Entrées,Capital,""), "")</f>
        <v>3731.1620025231982</v>
      </c>
      <c r="G52" s="657">
        <f>IFERROR(IF(Prêt_Non_Payé*Valeurs_Entrées,Intérêts,""), "")</f>
        <v>736.80959450146656</v>
      </c>
      <c r="H52" s="658">
        <f>IFERROR(IF(Prêt_Non_Payé*Valeurs_Entrées,Solde_Final,""), "")</f>
        <v>228945.55205056761</v>
      </c>
    </row>
    <row r="53" spans="1:10" x14ac:dyDescent="0.2">
      <c r="A53" s="654"/>
      <c r="B53" s="655">
        <f>IFERROR(IF(Prêt_Non_Payé*Valeurs_Entrées,Numéro_Paiement,""), "")</f>
        <v>41</v>
      </c>
      <c r="C53" s="656">
        <f>IFERROR(IF(Prêt_Non_Payé*Valeurs_Entrées,Date_Paiement,""), "")</f>
        <v>46174</v>
      </c>
      <c r="D53" s="657">
        <f>IFERROR(IF(Prêt_Non_Payé*Valeurs_Entrées,Solde_Départ,""), "")</f>
        <v>228945.55205056761</v>
      </c>
      <c r="E53" s="657">
        <f>IFERROR(IF(Prêt_Non_Payé*Valeurs_Entrées,Mensualité,""), "")</f>
        <v>4467.9715970246652</v>
      </c>
      <c r="F53" s="657">
        <f>IFERROR(IF(Prêt_Non_Payé*Valeurs_Entrées,Capital,""), "")</f>
        <v>3742.9773488645228</v>
      </c>
      <c r="G53" s="657">
        <f>IFERROR(IF(Prêt_Non_Payé*Valeurs_Entrées,Intérêts,""), "")</f>
        <v>724.99424816014312</v>
      </c>
      <c r="H53" s="658">
        <f>IFERROR(IF(Prêt_Non_Payé*Valeurs_Entrées,Solde_Final,""), "")</f>
        <v>225202.57470170307</v>
      </c>
    </row>
    <row r="54" spans="1:10" x14ac:dyDescent="0.2">
      <c r="A54" s="654"/>
      <c r="B54" s="655">
        <f>IFERROR(IF(Prêt_Non_Payé*Valeurs_Entrées,Numéro_Paiement,""), "")</f>
        <v>42</v>
      </c>
      <c r="C54" s="656">
        <f>IFERROR(IF(Prêt_Non_Payé*Valeurs_Entrées,Date_Paiement,""), "")</f>
        <v>46204</v>
      </c>
      <c r="D54" s="657">
        <f>IFERROR(IF(Prêt_Non_Payé*Valeurs_Entrées,Solde_Départ,""), "")</f>
        <v>225202.57470170307</v>
      </c>
      <c r="E54" s="657">
        <f>IFERROR(IF(Prêt_Non_Payé*Valeurs_Entrées,Mensualité,""), "")</f>
        <v>4467.9715970246652</v>
      </c>
      <c r="F54" s="657">
        <f>IFERROR(IF(Prêt_Non_Payé*Valeurs_Entrées,Capital,""), "")</f>
        <v>3754.8301104692605</v>
      </c>
      <c r="G54" s="657">
        <f>IFERROR(IF(Prêt_Non_Payé*Valeurs_Entrées,Intérêts,""), "")</f>
        <v>713.14148655540555</v>
      </c>
      <c r="H54" s="658">
        <f>IFERROR(IF(Prêt_Non_Payé*Valeurs_Entrées,Solde_Final,""), "")</f>
        <v>221447.74459123379</v>
      </c>
    </row>
    <row r="55" spans="1:10" x14ac:dyDescent="0.2">
      <c r="A55" s="654"/>
      <c r="B55" s="655">
        <f>IFERROR(IF(Prêt_Non_Payé*Valeurs_Entrées,Numéro_Paiement,""), "")</f>
        <v>43</v>
      </c>
      <c r="C55" s="656">
        <f>IFERROR(IF(Prêt_Non_Payé*Valeurs_Entrées,Date_Paiement,""), "")</f>
        <v>46235</v>
      </c>
      <c r="D55" s="657">
        <f>IFERROR(IF(Prêt_Non_Payé*Valeurs_Entrées,Solde_Départ,""), "")</f>
        <v>221447.74459123379</v>
      </c>
      <c r="E55" s="657">
        <f>IFERROR(IF(Prêt_Non_Payé*Valeurs_Entrées,Mensualité,""), "")</f>
        <v>4467.9715970246652</v>
      </c>
      <c r="F55" s="657">
        <f>IFERROR(IF(Prêt_Non_Payé*Valeurs_Entrées,Capital,""), "")</f>
        <v>3766.7204058190791</v>
      </c>
      <c r="G55" s="657">
        <f>IFERROR(IF(Prêt_Non_Payé*Valeurs_Entrées,Intérêts,""), "")</f>
        <v>701.25119120558622</v>
      </c>
      <c r="H55" s="658">
        <f>IFERROR(IF(Prêt_Non_Payé*Valeurs_Entrées,Solde_Final,""), "")</f>
        <v>217681.02418541443</v>
      </c>
    </row>
    <row r="56" spans="1:10" x14ac:dyDescent="0.2">
      <c r="A56" s="654"/>
      <c r="B56" s="655">
        <f>IFERROR(IF(Prêt_Non_Payé*Valeurs_Entrées,Numéro_Paiement,""), "")</f>
        <v>44</v>
      </c>
      <c r="C56" s="656">
        <f>IFERROR(IF(Prêt_Non_Payé*Valeurs_Entrées,Date_Paiement,""), "")</f>
        <v>46266</v>
      </c>
      <c r="D56" s="657">
        <f>IFERROR(IF(Prêt_Non_Payé*Valeurs_Entrées,Solde_Départ,""), "")</f>
        <v>217681.02418541443</v>
      </c>
      <c r="E56" s="657">
        <f>IFERROR(IF(Prêt_Non_Payé*Valeurs_Entrées,Mensualité,""), "")</f>
        <v>4467.9715970246652</v>
      </c>
      <c r="F56" s="657">
        <f>IFERROR(IF(Prêt_Non_Payé*Valeurs_Entrées,Capital,""), "")</f>
        <v>3778.64835377084</v>
      </c>
      <c r="G56" s="657">
        <f>IFERROR(IF(Prêt_Non_Payé*Valeurs_Entrées,Intérêts,""), "")</f>
        <v>689.32324325382581</v>
      </c>
      <c r="H56" s="658">
        <f>IFERROR(IF(Prêt_Non_Payé*Valeurs_Entrées,Solde_Final,""), "")</f>
        <v>213902.3758316437</v>
      </c>
    </row>
    <row r="57" spans="1:10" x14ac:dyDescent="0.2">
      <c r="A57" s="654"/>
      <c r="B57" s="655">
        <f>IFERROR(IF(Prêt_Non_Payé*Valeurs_Entrées,Numéro_Paiement,""), "")</f>
        <v>45</v>
      </c>
      <c r="C57" s="656">
        <f>IFERROR(IF(Prêt_Non_Payé*Valeurs_Entrées,Date_Paiement,""), "")</f>
        <v>46296</v>
      </c>
      <c r="D57" s="657">
        <f>IFERROR(IF(Prêt_Non_Payé*Valeurs_Entrées,Solde_Départ,""), "")</f>
        <v>213902.3758316437</v>
      </c>
      <c r="E57" s="657">
        <f>IFERROR(IF(Prêt_Non_Payé*Valeurs_Entrées,Mensualité,""), "")</f>
        <v>4467.9715970246652</v>
      </c>
      <c r="F57" s="657">
        <f>IFERROR(IF(Prêt_Non_Payé*Valeurs_Entrées,Capital,""), "")</f>
        <v>3790.614073557781</v>
      </c>
      <c r="G57" s="657">
        <f>IFERROR(IF(Prêt_Non_Payé*Valeurs_Entrées,Intérêts,""), "")</f>
        <v>677.3575234668848</v>
      </c>
      <c r="H57" s="658">
        <f>IFERROR(IF(Prêt_Non_Payé*Valeurs_Entrées,Solde_Final,""), "")</f>
        <v>210111.76175808584</v>
      </c>
    </row>
    <row r="58" spans="1:10" x14ac:dyDescent="0.2">
      <c r="A58" s="654"/>
      <c r="B58" s="655">
        <f>IFERROR(IF(Prêt_Non_Payé*Valeurs_Entrées,Numéro_Paiement,""), "")</f>
        <v>46</v>
      </c>
      <c r="C58" s="656">
        <f>IFERROR(IF(Prêt_Non_Payé*Valeurs_Entrées,Date_Paiement,""), "")</f>
        <v>46327</v>
      </c>
      <c r="D58" s="657">
        <f>IFERROR(IF(Prêt_Non_Payé*Valeurs_Entrées,Solde_Départ,""), "")</f>
        <v>210111.76175808584</v>
      </c>
      <c r="E58" s="657">
        <f>IFERROR(IF(Prêt_Non_Payé*Valeurs_Entrées,Mensualité,""), "")</f>
        <v>4467.9715970246652</v>
      </c>
      <c r="F58" s="657">
        <f>IFERROR(IF(Prêt_Non_Payé*Valeurs_Entrées,Capital,""), "")</f>
        <v>3802.6176847907136</v>
      </c>
      <c r="G58" s="657">
        <f>IFERROR(IF(Prêt_Non_Payé*Valeurs_Entrées,Intérêts,""), "")</f>
        <v>665.35391223395186</v>
      </c>
      <c r="H58" s="658">
        <f>IFERROR(IF(Prêt_Non_Payé*Valeurs_Entrées,Solde_Final,""), "")</f>
        <v>206309.144073295</v>
      </c>
    </row>
    <row r="59" spans="1:10" ht="16" thickBot="1" x14ac:dyDescent="0.25">
      <c r="A59" s="659"/>
      <c r="B59" s="660">
        <f>IFERROR(IF(Prêt_Non_Payé*Valeurs_Entrées,Numéro_Paiement,""), "")</f>
        <v>47</v>
      </c>
      <c r="C59" s="661">
        <f>IFERROR(IF(Prêt_Non_Payé*Valeurs_Entrées,Date_Paiement,""), "")</f>
        <v>46357</v>
      </c>
      <c r="D59" s="662">
        <f>IFERROR(IF(Prêt_Non_Payé*Valeurs_Entrées,Solde_Départ,""), "")</f>
        <v>206309.144073295</v>
      </c>
      <c r="E59" s="662">
        <f>IFERROR(IF(Prêt_Non_Payé*Valeurs_Entrées,Mensualité,""), "")</f>
        <v>4467.9715970246652</v>
      </c>
      <c r="F59" s="662">
        <f>IFERROR(IF(Prêt_Non_Payé*Valeurs_Entrées,Capital,""), "")</f>
        <v>3814.6593074592174</v>
      </c>
      <c r="G59" s="662">
        <f>IFERROR(IF(Prêt_Non_Payé*Valeurs_Entrées,Intérêts,""), "")</f>
        <v>653.31228956544794</v>
      </c>
      <c r="H59" s="663">
        <f>IFERROR(IF(Prêt_Non_Payé*Valeurs_Entrées,Solde_Final,""), "")</f>
        <v>202494.48476583537</v>
      </c>
      <c r="J59" s="664">
        <f t="shared" ref="J59" si="0">SUM(G48:G59)</f>
        <v>8626.1911510404934</v>
      </c>
    </row>
    <row r="60" spans="1:10" x14ac:dyDescent="0.2">
      <c r="A60" s="649"/>
      <c r="B60" s="650">
        <f>IFERROR(IF(Prêt_Non_Payé*Valeurs_Entrées,Numéro_Paiement,""), "")</f>
        <v>48</v>
      </c>
      <c r="C60" s="651">
        <f>IFERROR(IF(Prêt_Non_Payé*Valeurs_Entrées,Date_Paiement,""), "")</f>
        <v>46388</v>
      </c>
      <c r="D60" s="652">
        <f>IFERROR(IF(Prêt_Non_Payé*Valeurs_Entrées,Solde_Départ,""), "")</f>
        <v>202494.48476583537</v>
      </c>
      <c r="E60" s="652">
        <f>IFERROR(IF(Prêt_Non_Payé*Valeurs_Entrées,Mensualité,""), "")</f>
        <v>4467.9715970246652</v>
      </c>
      <c r="F60" s="652">
        <f>IFERROR(IF(Prêt_Non_Payé*Valeurs_Entrées,Capital,""), "")</f>
        <v>3826.7390619328389</v>
      </c>
      <c r="G60" s="652">
        <f>IFERROR(IF(Prêt_Non_Payé*Valeurs_Entrées,Intérêts,""), "")</f>
        <v>641.23253509182689</v>
      </c>
      <c r="H60" s="653">
        <f>IFERROR(IF(Prêt_Non_Payé*Valeurs_Entrées,Solde_Final,""), "")</f>
        <v>198667.74570390262</v>
      </c>
    </row>
    <row r="61" spans="1:10" x14ac:dyDescent="0.2">
      <c r="A61" s="654"/>
      <c r="B61" s="655">
        <f>IFERROR(IF(Prêt_Non_Payé*Valeurs_Entrées,Numéro_Paiement,""), "")</f>
        <v>49</v>
      </c>
      <c r="C61" s="656">
        <f>IFERROR(IF(Prêt_Non_Payé*Valeurs_Entrées,Date_Paiement,""), "")</f>
        <v>46419</v>
      </c>
      <c r="D61" s="657">
        <f>IFERROR(IF(Prêt_Non_Payé*Valeurs_Entrées,Solde_Départ,""), "")</f>
        <v>198667.74570390262</v>
      </c>
      <c r="E61" s="657">
        <f>IFERROR(IF(Prêt_Non_Payé*Valeurs_Entrées,Mensualité,""), "")</f>
        <v>4467.9715970246652</v>
      </c>
      <c r="F61" s="657">
        <f>IFERROR(IF(Prêt_Non_Payé*Valeurs_Entrées,Capital,""), "")</f>
        <v>3838.857068962292</v>
      </c>
      <c r="G61" s="657">
        <f>IFERROR(IF(Prêt_Non_Payé*Valeurs_Entrées,Intérêts,""), "")</f>
        <v>629.11452806237298</v>
      </c>
      <c r="H61" s="658">
        <f>IFERROR(IF(Prêt_Non_Payé*Valeurs_Entrées,Solde_Final,""), "")</f>
        <v>194828.88863494009</v>
      </c>
    </row>
    <row r="62" spans="1:10" x14ac:dyDescent="0.2">
      <c r="A62" s="654"/>
      <c r="B62" s="655">
        <f>IFERROR(IF(Prêt_Non_Payé*Valeurs_Entrées,Numéro_Paiement,""), "")</f>
        <v>50</v>
      </c>
      <c r="C62" s="656">
        <f>IFERROR(IF(Prêt_Non_Payé*Valeurs_Entrées,Date_Paiement,""), "")</f>
        <v>46447</v>
      </c>
      <c r="D62" s="657">
        <f>IFERROR(IF(Prêt_Non_Payé*Valeurs_Entrées,Solde_Départ,""), "")</f>
        <v>194828.88863494009</v>
      </c>
      <c r="E62" s="657">
        <f>IFERROR(IF(Prêt_Non_Payé*Valeurs_Entrées,Mensualité,""), "")</f>
        <v>4467.9715970246652</v>
      </c>
      <c r="F62" s="657">
        <f>IFERROR(IF(Prêt_Non_Payé*Valeurs_Entrées,Capital,""), "")</f>
        <v>3851.0134496806727</v>
      </c>
      <c r="G62" s="657">
        <f>IFERROR(IF(Prêt_Non_Payé*Valeurs_Entrées,Intérêts,""), "")</f>
        <v>616.95814734399255</v>
      </c>
      <c r="H62" s="658">
        <f>IFERROR(IF(Prêt_Non_Payé*Valeurs_Entrées,Solde_Final,""), "")</f>
        <v>190977.87518525939</v>
      </c>
    </row>
    <row r="63" spans="1:10" x14ac:dyDescent="0.2">
      <c r="A63" s="654"/>
      <c r="B63" s="655">
        <f>IFERROR(IF(Prêt_Non_Payé*Valeurs_Entrées,Numéro_Paiement,""), "")</f>
        <v>51</v>
      </c>
      <c r="C63" s="656">
        <f>IFERROR(IF(Prêt_Non_Payé*Valeurs_Entrées,Date_Paiement,""), "")</f>
        <v>46478</v>
      </c>
      <c r="D63" s="657">
        <f>IFERROR(IF(Prêt_Non_Payé*Valeurs_Entrées,Solde_Départ,""), "")</f>
        <v>190977.87518525939</v>
      </c>
      <c r="E63" s="657">
        <f>IFERROR(IF(Prêt_Non_Payé*Valeurs_Entrées,Mensualité,""), "")</f>
        <v>4467.9715970246652</v>
      </c>
      <c r="F63" s="657">
        <f>IFERROR(IF(Prêt_Non_Payé*Valeurs_Entrées,Capital,""), "")</f>
        <v>3863.2083256046617</v>
      </c>
      <c r="G63" s="657">
        <f>IFERROR(IF(Prêt_Non_Payé*Valeurs_Entrées,Intérêts,""), "")</f>
        <v>604.76327142000366</v>
      </c>
      <c r="H63" s="658">
        <f>IFERROR(IF(Prêt_Non_Payé*Valeurs_Entrées,Solde_Final,""), "")</f>
        <v>187114.66685965451</v>
      </c>
    </row>
    <row r="64" spans="1:10" x14ac:dyDescent="0.2">
      <c r="A64" s="654"/>
      <c r="B64" s="655">
        <f>IFERROR(IF(Prêt_Non_Payé*Valeurs_Entrées,Numéro_Paiement,""), "")</f>
        <v>52</v>
      </c>
      <c r="C64" s="656">
        <f>IFERROR(IF(Prêt_Non_Payé*Valeurs_Entrées,Date_Paiement,""), "")</f>
        <v>46508</v>
      </c>
      <c r="D64" s="657">
        <f>IFERROR(IF(Prêt_Non_Payé*Valeurs_Entrées,Solde_Départ,""), "")</f>
        <v>187114.66685965451</v>
      </c>
      <c r="E64" s="657">
        <f>IFERROR(IF(Prêt_Non_Payé*Valeurs_Entrées,Mensualité,""), "")</f>
        <v>4467.9715970246652</v>
      </c>
      <c r="F64" s="657">
        <f>IFERROR(IF(Prêt_Non_Payé*Valeurs_Entrées,Capital,""), "")</f>
        <v>3875.4418186357434</v>
      </c>
      <c r="G64" s="657">
        <f>IFERROR(IF(Prêt_Non_Payé*Valeurs_Entrées,Intérêts,""), "")</f>
        <v>592.52977838892218</v>
      </c>
      <c r="H64" s="658">
        <f>IFERROR(IF(Prêt_Non_Payé*Valeurs_Entrées,Solde_Final,""), "")</f>
        <v>183239.22504101862</v>
      </c>
    </row>
    <row r="65" spans="1:10" x14ac:dyDescent="0.2">
      <c r="A65" s="654"/>
      <c r="B65" s="655">
        <f>IFERROR(IF(Prêt_Non_Payé*Valeurs_Entrées,Numéro_Paiement,""), "")</f>
        <v>53</v>
      </c>
      <c r="C65" s="656">
        <f>IFERROR(IF(Prêt_Non_Payé*Valeurs_Entrées,Date_Paiement,""), "")</f>
        <v>46539</v>
      </c>
      <c r="D65" s="657">
        <f>IFERROR(IF(Prêt_Non_Payé*Valeurs_Entrées,Solde_Départ,""), "")</f>
        <v>183239.22504101862</v>
      </c>
      <c r="E65" s="657">
        <f>IFERROR(IF(Prêt_Non_Payé*Valeurs_Entrées,Mensualité,""), "")</f>
        <v>4467.9715970246652</v>
      </c>
      <c r="F65" s="657">
        <f>IFERROR(IF(Prêt_Non_Payé*Valeurs_Entrées,Capital,""), "")</f>
        <v>3887.7140510614231</v>
      </c>
      <c r="G65" s="657">
        <f>IFERROR(IF(Prêt_Non_Payé*Valeurs_Entrées,Intérêts,""), "")</f>
        <v>580.25754596324236</v>
      </c>
      <c r="H65" s="658">
        <f>IFERROR(IF(Prêt_Non_Payé*Valeurs_Entrées,Solde_Final,""), "")</f>
        <v>179351.51098995723</v>
      </c>
    </row>
    <row r="66" spans="1:10" x14ac:dyDescent="0.2">
      <c r="A66" s="654"/>
      <c r="B66" s="655">
        <f>IFERROR(IF(Prêt_Non_Payé*Valeurs_Entrées,Numéro_Paiement,""), "")</f>
        <v>54</v>
      </c>
      <c r="C66" s="656">
        <f>IFERROR(IF(Prêt_Non_Payé*Valeurs_Entrées,Date_Paiement,""), "")</f>
        <v>46569</v>
      </c>
      <c r="D66" s="657">
        <f>IFERROR(IF(Prêt_Non_Payé*Valeurs_Entrées,Solde_Départ,""), "")</f>
        <v>179351.51098995723</v>
      </c>
      <c r="E66" s="657">
        <f>IFERROR(IF(Prêt_Non_Payé*Valeurs_Entrées,Mensualité,""), "")</f>
        <v>4467.9715970246652</v>
      </c>
      <c r="F66" s="657">
        <f>IFERROR(IF(Prêt_Non_Payé*Valeurs_Entrées,Capital,""), "")</f>
        <v>3900.0251455564503</v>
      </c>
      <c r="G66" s="657">
        <f>IFERROR(IF(Prêt_Non_Payé*Valeurs_Entrées,Intérêts,""), "")</f>
        <v>567.9464514682146</v>
      </c>
      <c r="H66" s="658">
        <f>IFERROR(IF(Prêt_Non_Payé*Valeurs_Entrées,Solde_Final,""), "")</f>
        <v>175451.48584440077</v>
      </c>
    </row>
    <row r="67" spans="1:10" x14ac:dyDescent="0.2">
      <c r="A67" s="654"/>
      <c r="B67" s="655">
        <f>IFERROR(IF(Prêt_Non_Payé*Valeurs_Entrées,Numéro_Paiement,""), "")</f>
        <v>55</v>
      </c>
      <c r="C67" s="656">
        <f>IFERROR(IF(Prêt_Non_Payé*Valeurs_Entrées,Date_Paiement,""), "")</f>
        <v>46600</v>
      </c>
      <c r="D67" s="657">
        <f>IFERROR(IF(Prêt_Non_Payé*Valeurs_Entrées,Solde_Départ,""), "")</f>
        <v>175451.48584440077</v>
      </c>
      <c r="E67" s="657">
        <f>IFERROR(IF(Prêt_Non_Payé*Valeurs_Entrées,Mensualité,""), "")</f>
        <v>4467.9715970246652</v>
      </c>
      <c r="F67" s="657">
        <f>IFERROR(IF(Prêt_Non_Payé*Valeurs_Entrées,Capital,""), "")</f>
        <v>3912.375225184046</v>
      </c>
      <c r="G67" s="657">
        <f>IFERROR(IF(Prêt_Non_Payé*Valeurs_Entrées,Intérêts,""), "")</f>
        <v>555.59637184061921</v>
      </c>
      <c r="H67" s="658">
        <f>IFERROR(IF(Prêt_Non_Payé*Valeurs_Entrées,Solde_Final,""), "")</f>
        <v>171539.1106192164</v>
      </c>
    </row>
    <row r="68" spans="1:10" x14ac:dyDescent="0.2">
      <c r="A68" s="654"/>
      <c r="B68" s="655">
        <f>IFERROR(IF(Prêt_Non_Payé*Valeurs_Entrées,Numéro_Paiement,""), "")</f>
        <v>56</v>
      </c>
      <c r="C68" s="656">
        <f>IFERROR(IF(Prêt_Non_Payé*Valeurs_Entrées,Date_Paiement,""), "")</f>
        <v>46631</v>
      </c>
      <c r="D68" s="657">
        <f>IFERROR(IF(Prêt_Non_Payé*Valeurs_Entrées,Solde_Départ,""), "")</f>
        <v>171539.1106192164</v>
      </c>
      <c r="E68" s="657">
        <f>IFERROR(IF(Prêt_Non_Payé*Valeurs_Entrées,Mensualité,""), "")</f>
        <v>4467.9715970246652</v>
      </c>
      <c r="F68" s="657">
        <f>IFERROR(IF(Prêt_Non_Payé*Valeurs_Entrées,Capital,""), "")</f>
        <v>3924.7644133971289</v>
      </c>
      <c r="G68" s="657">
        <f>IFERROR(IF(Prêt_Non_Payé*Valeurs_Entrées,Intérêts,""), "")</f>
        <v>543.20718362753632</v>
      </c>
      <c r="H68" s="658">
        <f>IFERROR(IF(Prêt_Non_Payé*Valeurs_Entrées,Solde_Final,""), "")</f>
        <v>167614.34620581917</v>
      </c>
    </row>
    <row r="69" spans="1:10" x14ac:dyDescent="0.2">
      <c r="A69" s="654"/>
      <c r="B69" s="655">
        <f>IFERROR(IF(Prêt_Non_Payé*Valeurs_Entrées,Numéro_Paiement,""), "")</f>
        <v>57</v>
      </c>
      <c r="C69" s="656">
        <f>IFERROR(IF(Prêt_Non_Payé*Valeurs_Entrées,Date_Paiement,""), "")</f>
        <v>46661</v>
      </c>
      <c r="D69" s="657">
        <f>IFERROR(IF(Prêt_Non_Payé*Valeurs_Entrées,Solde_Départ,""), "")</f>
        <v>167614.34620581917</v>
      </c>
      <c r="E69" s="657">
        <f>IFERROR(IF(Prêt_Non_Payé*Valeurs_Entrées,Mensualité,""), "")</f>
        <v>4467.9715970246652</v>
      </c>
      <c r="F69" s="657">
        <f>IFERROR(IF(Prêt_Non_Payé*Valeurs_Entrées,Capital,""), "")</f>
        <v>3937.192834039553</v>
      </c>
      <c r="G69" s="657">
        <f>IFERROR(IF(Prêt_Non_Payé*Valeurs_Entrées,Intérêts,""), "")</f>
        <v>530.77876298511194</v>
      </c>
      <c r="H69" s="658">
        <f>IFERROR(IF(Prêt_Non_Payé*Valeurs_Entrées,Solde_Final,""), "")</f>
        <v>163677.15337177942</v>
      </c>
    </row>
    <row r="70" spans="1:10" x14ac:dyDescent="0.2">
      <c r="A70" s="654"/>
      <c r="B70" s="655">
        <f>IFERROR(IF(Prêt_Non_Payé*Valeurs_Entrées,Numéro_Paiement,""), "")</f>
        <v>58</v>
      </c>
      <c r="C70" s="656">
        <f>IFERROR(IF(Prêt_Non_Payé*Valeurs_Entrées,Date_Paiement,""), "")</f>
        <v>46692</v>
      </c>
      <c r="D70" s="657">
        <f>IFERROR(IF(Prêt_Non_Payé*Valeurs_Entrées,Solde_Départ,""), "")</f>
        <v>163677.15337177942</v>
      </c>
      <c r="E70" s="657">
        <f>IFERROR(IF(Prêt_Non_Payé*Valeurs_Entrées,Mensualité,""), "")</f>
        <v>4467.9715970246652</v>
      </c>
      <c r="F70" s="657">
        <f>IFERROR(IF(Prêt_Non_Payé*Valeurs_Entrées,Capital,""), "")</f>
        <v>3949.6606113473454</v>
      </c>
      <c r="G70" s="657">
        <f>IFERROR(IF(Prêt_Non_Payé*Valeurs_Entrées,Intérêts,""), "")</f>
        <v>518.3109856773201</v>
      </c>
      <c r="H70" s="658">
        <f>IFERROR(IF(Prêt_Non_Payé*Valeurs_Entrées,Solde_Final,""), "")</f>
        <v>159727.49276043219</v>
      </c>
    </row>
    <row r="71" spans="1:10" ht="16" thickBot="1" x14ac:dyDescent="0.25">
      <c r="A71" s="659"/>
      <c r="B71" s="660">
        <f>IFERROR(IF(Prêt_Non_Payé*Valeurs_Entrées,Numéro_Paiement,""), "")</f>
        <v>59</v>
      </c>
      <c r="C71" s="661">
        <f>IFERROR(IF(Prêt_Non_Payé*Valeurs_Entrées,Date_Paiement,""), "")</f>
        <v>46722</v>
      </c>
      <c r="D71" s="662">
        <f>IFERROR(IF(Prêt_Non_Payé*Valeurs_Entrées,Solde_Départ,""), "")</f>
        <v>159727.49276043219</v>
      </c>
      <c r="E71" s="662">
        <f>IFERROR(IF(Prêt_Non_Payé*Valeurs_Entrées,Mensualité,""), "")</f>
        <v>4467.9715970246652</v>
      </c>
      <c r="F71" s="662">
        <f>IFERROR(IF(Prêt_Non_Payé*Valeurs_Entrées,Capital,""), "")</f>
        <v>3962.1678699499453</v>
      </c>
      <c r="G71" s="662">
        <f>IFERROR(IF(Prêt_Non_Payé*Valeurs_Entrées,Intérêts,""), "")</f>
        <v>505.80372707472014</v>
      </c>
      <c r="H71" s="663">
        <f>IFERROR(IF(Prêt_Non_Payé*Valeurs_Entrées,Solde_Final,""), "")</f>
        <v>155765.32489048195</v>
      </c>
      <c r="J71" s="664">
        <f t="shared" ref="J71:J131" si="1">SUM(G60:G71)</f>
        <v>6886.4992889438827</v>
      </c>
    </row>
    <row r="72" spans="1:10" x14ac:dyDescent="0.2">
      <c r="A72" s="654"/>
      <c r="B72" s="655">
        <f>IFERROR(IF(Prêt_Non_Payé*Valeurs_Entrées,Numéro_Paiement,""), "")</f>
        <v>60</v>
      </c>
      <c r="C72" s="656">
        <f>IFERROR(IF(Prêt_Non_Payé*Valeurs_Entrées,Date_Paiement,""), "")</f>
        <v>46753</v>
      </c>
      <c r="D72" s="657">
        <f>IFERROR(IF(Prêt_Non_Payé*Valeurs_Entrées,Solde_Départ,""), "")</f>
        <v>155765.32489048195</v>
      </c>
      <c r="E72" s="657">
        <f>IFERROR(IF(Prêt_Non_Payé*Valeurs_Entrées,Mensualité,""), "")</f>
        <v>4467.9715970246652</v>
      </c>
      <c r="F72" s="657">
        <f>IFERROR(IF(Prêt_Non_Payé*Valeurs_Entrées,Capital,""), "")</f>
        <v>3974.7147348714534</v>
      </c>
      <c r="G72" s="657">
        <f>IFERROR(IF(Prêt_Non_Payé*Valeurs_Entrées,Intérêts,""), "")</f>
        <v>493.25686215321207</v>
      </c>
      <c r="H72" s="658">
        <f>IFERROR(IF(Prêt_Non_Payé*Valeurs_Entrées,Solde_Final,""), "")</f>
        <v>151790.61015561048</v>
      </c>
    </row>
    <row r="73" spans="1:10" x14ac:dyDescent="0.2">
      <c r="A73" s="654"/>
      <c r="B73" s="655">
        <f>IFERROR(IF(Prêt_Non_Payé*Valeurs_Entrées,Numéro_Paiement,""), "")</f>
        <v>61</v>
      </c>
      <c r="C73" s="656">
        <f>IFERROR(IF(Prêt_Non_Payé*Valeurs_Entrées,Date_Paiement,""), "")</f>
        <v>46784</v>
      </c>
      <c r="D73" s="657">
        <f>IFERROR(IF(Prêt_Non_Payé*Valeurs_Entrées,Solde_Départ,""), "")</f>
        <v>151790.61015561048</v>
      </c>
      <c r="E73" s="657">
        <f>IFERROR(IF(Prêt_Non_Payé*Valeurs_Entrées,Mensualité,""), "")</f>
        <v>4467.9715970246652</v>
      </c>
      <c r="F73" s="657">
        <f>IFERROR(IF(Prêt_Non_Payé*Valeurs_Entrées,Capital,""), "")</f>
        <v>3987.3013315318799</v>
      </c>
      <c r="G73" s="657">
        <f>IFERROR(IF(Prêt_Non_Payé*Valeurs_Entrées,Intérêts,""), "")</f>
        <v>480.6702654927858</v>
      </c>
      <c r="H73" s="658">
        <f>IFERROR(IF(Prêt_Non_Payé*Valeurs_Entrées,Solde_Final,""), "")</f>
        <v>147803.30882407853</v>
      </c>
    </row>
    <row r="74" spans="1:10" x14ac:dyDescent="0.2">
      <c r="A74" s="654"/>
      <c r="B74" s="655">
        <f>IFERROR(IF(Prêt_Non_Payé*Valeurs_Entrées,Numéro_Paiement,""), "")</f>
        <v>62</v>
      </c>
      <c r="C74" s="656">
        <f>IFERROR(IF(Prêt_Non_Payé*Valeurs_Entrées,Date_Paiement,""), "")</f>
        <v>46813</v>
      </c>
      <c r="D74" s="657">
        <f>IFERROR(IF(Prêt_Non_Payé*Valeurs_Entrées,Solde_Départ,""), "")</f>
        <v>147803.30882407853</v>
      </c>
      <c r="E74" s="657">
        <f>IFERROR(IF(Prêt_Non_Payé*Valeurs_Entrées,Mensualité,""), "")</f>
        <v>4467.9715970246652</v>
      </c>
      <c r="F74" s="657">
        <f>IFERROR(IF(Prêt_Non_Payé*Valeurs_Entrées,Capital,""), "")</f>
        <v>3999.9277857483971</v>
      </c>
      <c r="G74" s="657">
        <f>IFERROR(IF(Prêt_Non_Payé*Valeurs_Entrées,Intérêts,""), "")</f>
        <v>468.04381127626812</v>
      </c>
      <c r="H74" s="658">
        <f>IFERROR(IF(Prêt_Non_Payé*Valeurs_Entrées,Solde_Final,""), "")</f>
        <v>143803.38103832997</v>
      </c>
    </row>
    <row r="75" spans="1:10" x14ac:dyDescent="0.2">
      <c r="A75" s="654"/>
      <c r="B75" s="655">
        <f>IFERROR(IF(Prêt_Non_Payé*Valeurs_Entrées,Numéro_Paiement,""), "")</f>
        <v>63</v>
      </c>
      <c r="C75" s="656">
        <f>IFERROR(IF(Prêt_Non_Payé*Valeurs_Entrées,Date_Paiement,""), "")</f>
        <v>46844</v>
      </c>
      <c r="D75" s="657">
        <f>IFERROR(IF(Prêt_Non_Payé*Valeurs_Entrées,Solde_Départ,""), "")</f>
        <v>143803.38103832997</v>
      </c>
      <c r="E75" s="657">
        <f>IFERROR(IF(Prêt_Non_Payé*Valeurs_Entrées,Mensualité,""), "")</f>
        <v>4467.9715970246652</v>
      </c>
      <c r="F75" s="657">
        <f>IFERROR(IF(Prêt_Non_Payé*Valeurs_Entrées,Capital,""), "")</f>
        <v>4012.5942237366003</v>
      </c>
      <c r="G75" s="657">
        <f>IFERROR(IF(Prêt_Non_Payé*Valeurs_Entrées,Intérêts,""), "")</f>
        <v>455.37737328806492</v>
      </c>
      <c r="H75" s="658">
        <f>IFERROR(IF(Prêt_Non_Payé*Valeurs_Entrées,Solde_Final,""), "")</f>
        <v>139790.78681459301</v>
      </c>
    </row>
    <row r="76" spans="1:10" x14ac:dyDescent="0.2">
      <c r="A76" s="654"/>
      <c r="B76" s="655">
        <f>IFERROR(IF(Prêt_Non_Payé*Valeurs_Entrées,Numéro_Paiement,""), "")</f>
        <v>64</v>
      </c>
      <c r="C76" s="656">
        <f>IFERROR(IF(Prêt_Non_Payé*Valeurs_Entrées,Date_Paiement,""), "")</f>
        <v>46874</v>
      </c>
      <c r="D76" s="657">
        <f>IFERROR(IF(Prêt_Non_Payé*Valeurs_Entrées,Solde_Départ,""), "")</f>
        <v>139790.78681459301</v>
      </c>
      <c r="E76" s="657">
        <f>IFERROR(IF(Prêt_Non_Payé*Valeurs_Entrées,Mensualité,""), "")</f>
        <v>4467.9715970246652</v>
      </c>
      <c r="F76" s="657">
        <f>IFERROR(IF(Prêt_Non_Payé*Valeurs_Entrées,Capital,""), "")</f>
        <v>4025.300772111766</v>
      </c>
      <c r="G76" s="657">
        <f>IFERROR(IF(Prêt_Non_Payé*Valeurs_Entrées,Intérêts,""), "")</f>
        <v>442.67082491289904</v>
      </c>
      <c r="H76" s="658">
        <f>IFERROR(IF(Prêt_Non_Payé*Valeurs_Entrées,Solde_Final,""), "")</f>
        <v>135765.48604248138</v>
      </c>
    </row>
    <row r="77" spans="1:10" x14ac:dyDescent="0.2">
      <c r="A77" s="654"/>
      <c r="B77" s="655">
        <f>IFERROR(IF(Prêt_Non_Payé*Valeurs_Entrées,Numéro_Paiement,""), "")</f>
        <v>65</v>
      </c>
      <c r="C77" s="656">
        <f>IFERROR(IF(Prêt_Non_Payé*Valeurs_Entrées,Date_Paiement,""), "")</f>
        <v>46905</v>
      </c>
      <c r="D77" s="657">
        <f>IFERROR(IF(Prêt_Non_Payé*Valeurs_Entrées,Solde_Départ,""), "")</f>
        <v>135765.48604248138</v>
      </c>
      <c r="E77" s="657">
        <f>IFERROR(IF(Prêt_Non_Payé*Valeurs_Entrées,Mensualité,""), "")</f>
        <v>4467.9715970246652</v>
      </c>
      <c r="F77" s="657">
        <f>IFERROR(IF(Prêt_Non_Payé*Valeurs_Entrées,Capital,""), "")</f>
        <v>4038.0475578901205</v>
      </c>
      <c r="G77" s="657">
        <f>IFERROR(IF(Prêt_Non_Payé*Valeurs_Entrées,Intérêts,""), "")</f>
        <v>429.92403913454513</v>
      </c>
      <c r="H77" s="658">
        <f>IFERROR(IF(Prêt_Non_Payé*Valeurs_Entrées,Solde_Final,""), "")</f>
        <v>131727.43848459114</v>
      </c>
    </row>
    <row r="78" spans="1:10" x14ac:dyDescent="0.2">
      <c r="A78" s="654"/>
      <c r="B78" s="655">
        <f>IFERROR(IF(Prêt_Non_Payé*Valeurs_Entrées,Numéro_Paiement,""), "")</f>
        <v>66</v>
      </c>
      <c r="C78" s="656">
        <f>IFERROR(IF(Prêt_Non_Payé*Valeurs_Entrées,Date_Paiement,""), "")</f>
        <v>46935</v>
      </c>
      <c r="D78" s="657">
        <f>IFERROR(IF(Prêt_Non_Payé*Valeurs_Entrées,Solde_Départ,""), "")</f>
        <v>131727.43848459114</v>
      </c>
      <c r="E78" s="657">
        <f>IFERROR(IF(Prêt_Non_Payé*Valeurs_Entrées,Mensualité,""), "")</f>
        <v>4467.9715970246652</v>
      </c>
      <c r="F78" s="657">
        <f>IFERROR(IF(Prêt_Non_Payé*Valeurs_Entrées,Capital,""), "")</f>
        <v>4050.8347084901052</v>
      </c>
      <c r="G78" s="657">
        <f>IFERROR(IF(Prêt_Non_Payé*Valeurs_Entrées,Intérêts,""), "")</f>
        <v>417.13688853455972</v>
      </c>
      <c r="H78" s="658">
        <f>IFERROR(IF(Prêt_Non_Payé*Valeurs_Entrées,Solde_Final,""), "")</f>
        <v>127676.60377610096</v>
      </c>
    </row>
    <row r="79" spans="1:10" x14ac:dyDescent="0.2">
      <c r="A79" s="654"/>
      <c r="B79" s="655">
        <f>IFERROR(IF(Prêt_Non_Payé*Valeurs_Entrées,Numéro_Paiement,""), "")</f>
        <v>67</v>
      </c>
      <c r="C79" s="656">
        <f>IFERROR(IF(Prêt_Non_Payé*Valeurs_Entrées,Date_Paiement,""), "")</f>
        <v>46966</v>
      </c>
      <c r="D79" s="657">
        <f>IFERROR(IF(Prêt_Non_Payé*Valeurs_Entrées,Solde_Départ,""), "")</f>
        <v>127676.60377610096</v>
      </c>
      <c r="E79" s="657">
        <f>IFERROR(IF(Prêt_Non_Payé*Valeurs_Entrées,Mensualité,""), "")</f>
        <v>4467.9715970246652</v>
      </c>
      <c r="F79" s="657">
        <f>IFERROR(IF(Prêt_Non_Payé*Valeurs_Entrées,Capital,""), "")</f>
        <v>4063.6623517336584</v>
      </c>
      <c r="G79" s="657">
        <f>IFERROR(IF(Prêt_Non_Payé*Valeurs_Entrées,Intérêts,""), "")</f>
        <v>404.30924529100764</v>
      </c>
      <c r="H79" s="658">
        <f>IFERROR(IF(Prêt_Non_Payé*Valeurs_Entrées,Solde_Final,""), "")</f>
        <v>123612.94142436719</v>
      </c>
    </row>
    <row r="80" spans="1:10" x14ac:dyDescent="0.2">
      <c r="A80" s="654"/>
      <c r="B80" s="655">
        <f>IFERROR(IF(Prêt_Non_Payé*Valeurs_Entrées,Numéro_Paiement,""), "")</f>
        <v>68</v>
      </c>
      <c r="C80" s="656">
        <f>IFERROR(IF(Prêt_Non_Payé*Valeurs_Entrées,Date_Paiement,""), "")</f>
        <v>46997</v>
      </c>
      <c r="D80" s="657">
        <f>IFERROR(IF(Prêt_Non_Payé*Valeurs_Entrées,Solde_Départ,""), "")</f>
        <v>123612.94142436719</v>
      </c>
      <c r="E80" s="657">
        <f>IFERROR(IF(Prêt_Non_Payé*Valeurs_Entrées,Mensualité,""), "")</f>
        <v>4467.9715970246652</v>
      </c>
      <c r="F80" s="657">
        <f>IFERROR(IF(Prêt_Non_Payé*Valeurs_Entrées,Capital,""), "")</f>
        <v>4076.5306158474809</v>
      </c>
      <c r="G80" s="657">
        <f>IFERROR(IF(Prêt_Non_Payé*Valeurs_Entrées,Intérêts,""), "")</f>
        <v>391.44098117718437</v>
      </c>
      <c r="H80" s="658">
        <f>IFERROR(IF(Prêt_Non_Payé*Valeurs_Entrées,Solde_Final,""), "")</f>
        <v>119536.41080851958</v>
      </c>
    </row>
    <row r="81" spans="1:10" x14ac:dyDescent="0.2">
      <c r="A81" s="654"/>
      <c r="B81" s="655">
        <f>IFERROR(IF(Prêt_Non_Payé*Valeurs_Entrées,Numéro_Paiement,""), "")</f>
        <v>69</v>
      </c>
      <c r="C81" s="656">
        <f>IFERROR(IF(Prêt_Non_Payé*Valeurs_Entrées,Date_Paiement,""), "")</f>
        <v>47027</v>
      </c>
      <c r="D81" s="657">
        <f>IFERROR(IF(Prêt_Non_Payé*Valeurs_Entrées,Solde_Départ,""), "")</f>
        <v>119536.41080851958</v>
      </c>
      <c r="E81" s="657">
        <f>IFERROR(IF(Prêt_Non_Payé*Valeurs_Entrées,Mensualité,""), "")</f>
        <v>4467.9715970246652</v>
      </c>
      <c r="F81" s="657">
        <f>IFERROR(IF(Prêt_Non_Payé*Valeurs_Entrées,Capital,""), "")</f>
        <v>4089.4396294643316</v>
      </c>
      <c r="G81" s="657">
        <f>IFERROR(IF(Prêt_Non_Payé*Valeurs_Entrées,Intérêts,""), "")</f>
        <v>378.53196756033407</v>
      </c>
      <c r="H81" s="658">
        <f>IFERROR(IF(Prêt_Non_Payé*Valeurs_Entrées,Solde_Final,""), "")</f>
        <v>115446.97117905505</v>
      </c>
    </row>
    <row r="82" spans="1:10" x14ac:dyDescent="0.2">
      <c r="A82" s="654"/>
      <c r="B82" s="655">
        <f>IFERROR(IF(Prêt_Non_Payé*Valeurs_Entrées,Numéro_Paiement,""), "")</f>
        <v>70</v>
      </c>
      <c r="C82" s="656">
        <f>IFERROR(IF(Prêt_Non_Payé*Valeurs_Entrées,Date_Paiement,""), "")</f>
        <v>47058</v>
      </c>
      <c r="D82" s="657">
        <f>IFERROR(IF(Prêt_Non_Payé*Valeurs_Entrées,Solde_Départ,""), "")</f>
        <v>115446.97117905505</v>
      </c>
      <c r="E82" s="657">
        <f>IFERROR(IF(Prêt_Non_Payé*Valeurs_Entrées,Mensualité,""), "")</f>
        <v>4467.9715970246652</v>
      </c>
      <c r="F82" s="657">
        <f>IFERROR(IF(Prêt_Non_Payé*Valeurs_Entrées,Capital,""), "")</f>
        <v>4102.3895216243018</v>
      </c>
      <c r="G82" s="657">
        <f>IFERROR(IF(Prêt_Non_Payé*Valeurs_Entrées,Intérêts,""), "")</f>
        <v>365.58207540036369</v>
      </c>
      <c r="H82" s="658">
        <f>IFERROR(IF(Prêt_Non_Payé*Valeurs_Entrées,Solde_Final,""), "")</f>
        <v>111344.58165743045</v>
      </c>
    </row>
    <row r="83" spans="1:10" ht="16" thickBot="1" x14ac:dyDescent="0.25">
      <c r="A83" s="659"/>
      <c r="B83" s="660">
        <f>IFERROR(IF(Prêt_Non_Payé*Valeurs_Entrées,Numéro_Paiement,""), "")</f>
        <v>71</v>
      </c>
      <c r="C83" s="661">
        <f>IFERROR(IF(Prêt_Non_Payé*Valeurs_Entrées,Date_Paiement,""), "")</f>
        <v>47088</v>
      </c>
      <c r="D83" s="662">
        <f>IFERROR(IF(Prêt_Non_Payé*Valeurs_Entrées,Solde_Départ,""), "")</f>
        <v>111344.58165743045</v>
      </c>
      <c r="E83" s="662">
        <f>IFERROR(IF(Prêt_Non_Payé*Valeurs_Entrées,Mensualité,""), "")</f>
        <v>4467.9715970246652</v>
      </c>
      <c r="F83" s="662">
        <f>IFERROR(IF(Prêt_Non_Payé*Valeurs_Entrées,Capital,""), "")</f>
        <v>4115.3804217761117</v>
      </c>
      <c r="G83" s="662">
        <f>IFERROR(IF(Prêt_Non_Payé*Valeurs_Entrées,Intérêts,""), "")</f>
        <v>352.59117524855338</v>
      </c>
      <c r="H83" s="663">
        <f>IFERROR(IF(Prêt_Non_Payé*Valeurs_Entrées,Solde_Final,""), "")</f>
        <v>107229.20123565424</v>
      </c>
      <c r="J83" s="664">
        <f t="shared" si="1"/>
        <v>5079.5355094697779</v>
      </c>
    </row>
    <row r="84" spans="1:10" x14ac:dyDescent="0.2">
      <c r="A84" s="649"/>
      <c r="B84" s="650">
        <f>IFERROR(IF(Prêt_Non_Payé*Valeurs_Entrées,Numéro_Paiement,""), "")</f>
        <v>72</v>
      </c>
      <c r="C84" s="651">
        <f>IFERROR(IF(Prêt_Non_Payé*Valeurs_Entrées,Date_Paiement,""), "")</f>
        <v>47119</v>
      </c>
      <c r="D84" s="652">
        <f>IFERROR(IF(Prêt_Non_Payé*Valeurs_Entrées,Solde_Départ,""), "")</f>
        <v>107229.20123565424</v>
      </c>
      <c r="E84" s="652">
        <f>IFERROR(IF(Prêt_Non_Payé*Valeurs_Entrées,Mensualité,""), "")</f>
        <v>4467.9715970246652</v>
      </c>
      <c r="F84" s="652">
        <f>IFERROR(IF(Prêt_Non_Payé*Valeurs_Entrées,Capital,""), "")</f>
        <v>4128.412459778403</v>
      </c>
      <c r="G84" s="652">
        <f>IFERROR(IF(Prêt_Non_Payé*Valeurs_Entrées,Intérêts,""), "")</f>
        <v>339.55913724626231</v>
      </c>
      <c r="H84" s="653">
        <f>IFERROR(IF(Prêt_Non_Payé*Valeurs_Entrées,Solde_Final,""), "")</f>
        <v>103100.78877587582</v>
      </c>
    </row>
    <row r="85" spans="1:10" x14ac:dyDescent="0.2">
      <c r="A85" s="654"/>
      <c r="B85" s="655">
        <f>IFERROR(IF(Prêt_Non_Payé*Valeurs_Entrées,Numéro_Paiement,""), "")</f>
        <v>73</v>
      </c>
      <c r="C85" s="656">
        <f>IFERROR(IF(Prêt_Non_Payé*Valeurs_Entrées,Date_Paiement,""), "")</f>
        <v>47150</v>
      </c>
      <c r="D85" s="657">
        <f>IFERROR(IF(Prêt_Non_Payé*Valeurs_Entrées,Solde_Départ,""), "")</f>
        <v>103100.78877587582</v>
      </c>
      <c r="E85" s="657">
        <f>IFERROR(IF(Prêt_Non_Payé*Valeurs_Entrées,Mensualité,""), "")</f>
        <v>4467.9715970246652</v>
      </c>
      <c r="F85" s="657">
        <f>IFERROR(IF(Prêt_Non_Payé*Valeurs_Entrées,Capital,""), "")</f>
        <v>4141.4857659010349</v>
      </c>
      <c r="G85" s="657">
        <f>IFERROR(IF(Prêt_Non_Payé*Valeurs_Entrées,Intérêts,""), "")</f>
        <v>326.48583112363076</v>
      </c>
      <c r="H85" s="658">
        <f>IFERROR(IF(Prêt_Non_Payé*Valeurs_Entrées,Solde_Final,""), "")</f>
        <v>98959.303009974712</v>
      </c>
    </row>
    <row r="86" spans="1:10" x14ac:dyDescent="0.2">
      <c r="A86" s="654"/>
      <c r="B86" s="655">
        <f>IFERROR(IF(Prêt_Non_Payé*Valeurs_Entrées,Numéro_Paiement,""), "")</f>
        <v>74</v>
      </c>
      <c r="C86" s="656">
        <f>IFERROR(IF(Prêt_Non_Payé*Valeurs_Entrées,Date_Paiement,""), "")</f>
        <v>47178</v>
      </c>
      <c r="D86" s="657">
        <f>IFERROR(IF(Prêt_Non_Payé*Valeurs_Entrées,Solde_Départ,""), "")</f>
        <v>98959.303009974712</v>
      </c>
      <c r="E86" s="657">
        <f>IFERROR(IF(Prêt_Non_Payé*Valeurs_Entrées,Mensualité,""), "")</f>
        <v>4467.9715970246652</v>
      </c>
      <c r="F86" s="657">
        <f>IFERROR(IF(Prêt_Non_Payé*Valeurs_Entrées,Capital,""), "")</f>
        <v>4154.6004708263881</v>
      </c>
      <c r="G86" s="657">
        <f>IFERROR(IF(Prêt_Non_Payé*Valeurs_Entrées,Intérêts,""), "")</f>
        <v>313.37112619827747</v>
      </c>
      <c r="H86" s="658">
        <f>IFERROR(IF(Prêt_Non_Payé*Valeurs_Entrées,Solde_Final,""), "")</f>
        <v>94804.702539148333</v>
      </c>
    </row>
    <row r="87" spans="1:10" x14ac:dyDescent="0.2">
      <c r="A87" s="654"/>
      <c r="B87" s="655">
        <f>IFERROR(IF(Prêt_Non_Payé*Valeurs_Entrées,Numéro_Paiement,""), "")</f>
        <v>75</v>
      </c>
      <c r="C87" s="656">
        <f>IFERROR(IF(Prêt_Non_Payé*Valeurs_Entrées,Date_Paiement,""), "")</f>
        <v>47209</v>
      </c>
      <c r="D87" s="657">
        <f>IFERROR(IF(Prêt_Non_Payé*Valeurs_Entrées,Solde_Départ,""), "")</f>
        <v>94804.702539148333</v>
      </c>
      <c r="E87" s="657">
        <f>IFERROR(IF(Prêt_Non_Payé*Valeurs_Entrées,Mensualité,""), "")</f>
        <v>4467.9715970246652</v>
      </c>
      <c r="F87" s="657">
        <f>IFERROR(IF(Prêt_Non_Payé*Valeurs_Entrées,Capital,""), "")</f>
        <v>4167.7567056506714</v>
      </c>
      <c r="G87" s="657">
        <f>IFERROR(IF(Prêt_Non_Payé*Valeurs_Entrées,Intérêts,""), "")</f>
        <v>300.21489137399396</v>
      </c>
      <c r="H87" s="658">
        <f>IFERROR(IF(Prêt_Non_Payé*Valeurs_Entrées,Solde_Final,""), "")</f>
        <v>90636.945833497331</v>
      </c>
    </row>
    <row r="88" spans="1:10" x14ac:dyDescent="0.2">
      <c r="A88" s="654"/>
      <c r="B88" s="655">
        <f>IFERROR(IF(Prêt_Non_Payé*Valeurs_Entrées,Numéro_Paiement,""), "")</f>
        <v>76</v>
      </c>
      <c r="C88" s="656">
        <f>IFERROR(IF(Prêt_Non_Payé*Valeurs_Entrées,Date_Paiement,""), "")</f>
        <v>47239</v>
      </c>
      <c r="D88" s="657">
        <f>IFERROR(IF(Prêt_Non_Payé*Valeurs_Entrées,Solde_Départ,""), "")</f>
        <v>90636.945833497331</v>
      </c>
      <c r="E88" s="657">
        <f>IFERROR(IF(Prêt_Non_Payé*Valeurs_Entrées,Mensualité,""), "")</f>
        <v>4467.9715970246652</v>
      </c>
      <c r="F88" s="657">
        <f>IFERROR(IF(Prêt_Non_Payé*Valeurs_Entrées,Capital,""), "")</f>
        <v>4180.9546018852316</v>
      </c>
      <c r="G88" s="657">
        <f>IFERROR(IF(Prêt_Non_Payé*Valeurs_Entrées,Intérêts,""), "")</f>
        <v>287.0169951394335</v>
      </c>
      <c r="H88" s="658">
        <f>IFERROR(IF(Prêt_Non_Payé*Valeurs_Entrées,Solde_Final,""), "")</f>
        <v>86455.991231611988</v>
      </c>
    </row>
    <row r="89" spans="1:10" x14ac:dyDescent="0.2">
      <c r="A89" s="654"/>
      <c r="B89" s="655">
        <f>IFERROR(IF(Prêt_Non_Payé*Valeurs_Entrées,Numéro_Paiement,""), "")</f>
        <v>77</v>
      </c>
      <c r="C89" s="656">
        <f>IFERROR(IF(Prêt_Non_Payé*Valeurs_Entrées,Date_Paiement,""), "")</f>
        <v>47270</v>
      </c>
      <c r="D89" s="657">
        <f>IFERROR(IF(Prêt_Non_Payé*Valeurs_Entrées,Solde_Départ,""), "")</f>
        <v>86455.991231611988</v>
      </c>
      <c r="E89" s="657">
        <f>IFERROR(IF(Prêt_Non_Payé*Valeurs_Entrées,Mensualité,""), "")</f>
        <v>4467.9715970246652</v>
      </c>
      <c r="F89" s="657">
        <f>IFERROR(IF(Prêt_Non_Payé*Valeurs_Entrées,Capital,""), "")</f>
        <v>4194.1942914578685</v>
      </c>
      <c r="G89" s="657">
        <f>IFERROR(IF(Prêt_Non_Payé*Valeurs_Entrées,Intérêts,""), "")</f>
        <v>273.77730556679688</v>
      </c>
      <c r="H89" s="658">
        <f>IFERROR(IF(Prêt_Non_Payé*Valeurs_Entrées,Solde_Final,""), "")</f>
        <v>82261.79694015393</v>
      </c>
    </row>
    <row r="90" spans="1:10" x14ac:dyDescent="0.2">
      <c r="A90" s="654"/>
      <c r="B90" s="655">
        <f>IFERROR(IF(Prêt_Non_Payé*Valeurs_Entrées,Numéro_Paiement,""), "")</f>
        <v>78</v>
      </c>
      <c r="C90" s="656">
        <f>IFERROR(IF(Prêt_Non_Payé*Valeurs_Entrées,Date_Paiement,""), "")</f>
        <v>47300</v>
      </c>
      <c r="D90" s="657">
        <f>IFERROR(IF(Prêt_Non_Payé*Valeurs_Entrées,Solde_Départ,""), "")</f>
        <v>82261.79694015393</v>
      </c>
      <c r="E90" s="657">
        <f>IFERROR(IF(Prêt_Non_Payé*Valeurs_Entrées,Mensualité,""), "")</f>
        <v>4467.9715970246652</v>
      </c>
      <c r="F90" s="657">
        <f>IFERROR(IF(Prêt_Non_Payé*Valeurs_Entrées,Capital,""), "")</f>
        <v>4207.4759067141522</v>
      </c>
      <c r="G90" s="657">
        <f>IFERROR(IF(Prêt_Non_Payé*Valeurs_Entrées,Intérêts,""), "")</f>
        <v>260.49569031051362</v>
      </c>
      <c r="H90" s="658">
        <f>IFERROR(IF(Prêt_Non_Payé*Valeurs_Entrées,Solde_Final,""), "")</f>
        <v>78054.321033439657</v>
      </c>
    </row>
    <row r="91" spans="1:10" x14ac:dyDescent="0.2">
      <c r="A91" s="654"/>
      <c r="B91" s="655">
        <f>IFERROR(IF(Prêt_Non_Payé*Valeurs_Entrées,Numéro_Paiement,""), "")</f>
        <v>79</v>
      </c>
      <c r="C91" s="656">
        <f>IFERROR(IF(Prêt_Non_Payé*Valeurs_Entrées,Date_Paiement,""), "")</f>
        <v>47331</v>
      </c>
      <c r="D91" s="657">
        <f>IFERROR(IF(Prêt_Non_Payé*Valeurs_Entrées,Solde_Départ,""), "")</f>
        <v>78054.321033439657</v>
      </c>
      <c r="E91" s="657">
        <f>IFERROR(IF(Prêt_Non_Payé*Valeurs_Entrées,Mensualité,""), "")</f>
        <v>4467.9715970246652</v>
      </c>
      <c r="F91" s="657">
        <f>IFERROR(IF(Prêt_Non_Payé*Valeurs_Entrées,Capital,""), "")</f>
        <v>4220.7995804187467</v>
      </c>
      <c r="G91" s="657">
        <f>IFERROR(IF(Prêt_Non_Payé*Valeurs_Entrées,Intérêts,""), "")</f>
        <v>247.17201660591883</v>
      </c>
      <c r="H91" s="658">
        <f>IFERROR(IF(Prêt_Non_Payé*Valeurs_Entrées,Solde_Final,""), "")</f>
        <v>73833.521453020745</v>
      </c>
    </row>
    <row r="92" spans="1:10" x14ac:dyDescent="0.2">
      <c r="A92" s="654"/>
      <c r="B92" s="655">
        <f>IFERROR(IF(Prêt_Non_Payé*Valeurs_Entrées,Numéro_Paiement,""), "")</f>
        <v>80</v>
      </c>
      <c r="C92" s="656">
        <f>IFERROR(IF(Prêt_Non_Payé*Valeurs_Entrées,Date_Paiement,""), "")</f>
        <v>47362</v>
      </c>
      <c r="D92" s="657">
        <f>IFERROR(IF(Prêt_Non_Payé*Valeurs_Entrées,Solde_Départ,""), "")</f>
        <v>73833.521453020745</v>
      </c>
      <c r="E92" s="657">
        <f>IFERROR(IF(Prêt_Non_Payé*Valeurs_Entrées,Mensualité,""), "")</f>
        <v>4467.9715970246652</v>
      </c>
      <c r="F92" s="657">
        <f>IFERROR(IF(Prêt_Non_Payé*Valeurs_Entrées,Capital,""), "")</f>
        <v>4234.1654457567392</v>
      </c>
      <c r="G92" s="657">
        <f>IFERROR(IF(Prêt_Non_Payé*Valeurs_Entrées,Intérêts,""), "")</f>
        <v>233.80615126792611</v>
      </c>
      <c r="H92" s="658">
        <f>IFERROR(IF(Prêt_Non_Payé*Valeurs_Entrées,Solde_Final,""), "")</f>
        <v>69599.356007263821</v>
      </c>
    </row>
    <row r="93" spans="1:10" x14ac:dyDescent="0.2">
      <c r="A93" s="654"/>
      <c r="B93" s="655">
        <f>IFERROR(IF(Prêt_Non_Payé*Valeurs_Entrées,Numéro_Paiement,""), "")</f>
        <v>81</v>
      </c>
      <c r="C93" s="656">
        <f>IFERROR(IF(Prêt_Non_Payé*Valeurs_Entrées,Date_Paiement,""), "")</f>
        <v>47392</v>
      </c>
      <c r="D93" s="657">
        <f>IFERROR(IF(Prêt_Non_Payé*Valeurs_Entrées,Solde_Départ,""), "")</f>
        <v>69599.356007263821</v>
      </c>
      <c r="E93" s="657">
        <f>IFERROR(IF(Prêt_Non_Payé*Valeurs_Entrées,Mensualité,""), "")</f>
        <v>4467.9715970246652</v>
      </c>
      <c r="F93" s="657">
        <f>IFERROR(IF(Prêt_Non_Payé*Valeurs_Entrées,Capital,""), "")</f>
        <v>4247.5736363349688</v>
      </c>
      <c r="G93" s="657">
        <f>IFERROR(IF(Prêt_Non_Payé*Valeurs_Entrées,Intérêts,""), "")</f>
        <v>220.39796068969645</v>
      </c>
      <c r="H93" s="658">
        <f>IFERROR(IF(Prêt_Non_Payé*Valeurs_Entrées,Solde_Final,""), "")</f>
        <v>65351.78237092885</v>
      </c>
    </row>
    <row r="94" spans="1:10" x14ac:dyDescent="0.2">
      <c r="A94" s="654"/>
      <c r="B94" s="655">
        <f>IFERROR(IF(Prêt_Non_Payé*Valeurs_Entrées,Numéro_Paiement,""), "")</f>
        <v>82</v>
      </c>
      <c r="C94" s="656">
        <f>IFERROR(IF(Prêt_Non_Payé*Valeurs_Entrées,Date_Paiement,""), "")</f>
        <v>47423</v>
      </c>
      <c r="D94" s="657">
        <f>IFERROR(IF(Prêt_Non_Payé*Valeurs_Entrées,Solde_Départ,""), "")</f>
        <v>65351.78237092885</v>
      </c>
      <c r="E94" s="657">
        <f>IFERROR(IF(Prêt_Non_Payé*Valeurs_Entrées,Mensualité,""), "")</f>
        <v>4467.9715970246652</v>
      </c>
      <c r="F94" s="657">
        <f>IFERROR(IF(Prêt_Non_Payé*Valeurs_Entrées,Capital,""), "")</f>
        <v>4261.0242861833631</v>
      </c>
      <c r="G94" s="657">
        <f>IFERROR(IF(Prêt_Non_Payé*Valeurs_Entrées,Intérêts,""), "")</f>
        <v>206.94731084130237</v>
      </c>
      <c r="H94" s="658">
        <f>IFERROR(IF(Prêt_Non_Payé*Valeurs_Entrées,Solde_Final,""), "")</f>
        <v>61090.758084745437</v>
      </c>
    </row>
    <row r="95" spans="1:10" ht="16" thickBot="1" x14ac:dyDescent="0.25">
      <c r="A95" s="659"/>
      <c r="B95" s="660">
        <f>IFERROR(IF(Prêt_Non_Payé*Valeurs_Entrées,Numéro_Paiement,""), "")</f>
        <v>83</v>
      </c>
      <c r="C95" s="661">
        <f>IFERROR(IF(Prêt_Non_Payé*Valeurs_Entrées,Date_Paiement,""), "")</f>
        <v>47453</v>
      </c>
      <c r="D95" s="662">
        <f>IFERROR(IF(Prêt_Non_Payé*Valeurs_Entrées,Solde_Départ,""), "")</f>
        <v>61090.758084745437</v>
      </c>
      <c r="E95" s="662">
        <f>IFERROR(IF(Prêt_Non_Payé*Valeurs_Entrées,Mensualité,""), "")</f>
        <v>4467.9715970246652</v>
      </c>
      <c r="F95" s="662">
        <f>IFERROR(IF(Prêt_Non_Payé*Valeurs_Entrées,Capital,""), "")</f>
        <v>4274.5175297562773</v>
      </c>
      <c r="G95" s="662">
        <f>IFERROR(IF(Prêt_Non_Payé*Valeurs_Entrées,Intérêts,""), "")</f>
        <v>193.45406726838837</v>
      </c>
      <c r="H95" s="663">
        <f>IFERROR(IF(Prêt_Non_Payé*Valeurs_Entrées,Solde_Final,""), "")</f>
        <v>56816.240554988792</v>
      </c>
      <c r="J95" s="664">
        <f t="shared" si="1"/>
        <v>3202.6984836321403</v>
      </c>
    </row>
    <row r="96" spans="1:10" x14ac:dyDescent="0.2">
      <c r="A96" s="649"/>
      <c r="B96" s="650">
        <f>IFERROR(IF(Prêt_Non_Payé*Valeurs_Entrées,Numéro_Paiement,""), "")</f>
        <v>84</v>
      </c>
      <c r="C96" s="651">
        <f>IFERROR(IF(Prêt_Non_Payé*Valeurs_Entrées,Date_Paiement,""), "")</f>
        <v>47484</v>
      </c>
      <c r="D96" s="652">
        <f>IFERROR(IF(Prêt_Non_Payé*Valeurs_Entrées,Solde_Départ,""), "")</f>
        <v>56816.240554988792</v>
      </c>
      <c r="E96" s="652">
        <f>IFERROR(IF(Prêt_Non_Payé*Valeurs_Entrées,Mensualité,""), "")</f>
        <v>4467.9715970246652</v>
      </c>
      <c r="F96" s="652">
        <f>IFERROR(IF(Prêt_Non_Payé*Valeurs_Entrées,Capital,""), "")</f>
        <v>4288.0535019338386</v>
      </c>
      <c r="G96" s="652">
        <f>IFERROR(IF(Prêt_Non_Payé*Valeurs_Entrées,Intérêts,""), "")</f>
        <v>179.91809509082688</v>
      </c>
      <c r="H96" s="653">
        <f>IFERROR(IF(Prêt_Non_Payé*Valeurs_Entrées,Solde_Final,""), "")</f>
        <v>52528.187053054804</v>
      </c>
    </row>
    <row r="97" spans="1:10" x14ac:dyDescent="0.2">
      <c r="A97" s="654"/>
      <c r="B97" s="655">
        <f>IFERROR(IF(Prêt_Non_Payé*Valeurs_Entrées,Numéro_Paiement,""), "")</f>
        <v>85</v>
      </c>
      <c r="C97" s="656">
        <f>IFERROR(IF(Prêt_Non_Payé*Valeurs_Entrées,Date_Paiement,""), "")</f>
        <v>47515</v>
      </c>
      <c r="D97" s="657">
        <f>IFERROR(IF(Prêt_Non_Payé*Valeurs_Entrées,Solde_Départ,""), "")</f>
        <v>52528.187053054804</v>
      </c>
      <c r="E97" s="657">
        <f>IFERROR(IF(Prêt_Non_Payé*Valeurs_Entrées,Mensualité,""), "")</f>
        <v>4467.9715970246652</v>
      </c>
      <c r="F97" s="657">
        <f>IFERROR(IF(Prêt_Non_Payé*Valeurs_Entrées,Capital,""), "")</f>
        <v>4301.6323380232961</v>
      </c>
      <c r="G97" s="657">
        <f>IFERROR(IF(Prêt_Non_Payé*Valeurs_Entrées,Intérêts,""), "")</f>
        <v>166.33925900136973</v>
      </c>
      <c r="H97" s="658">
        <f>IFERROR(IF(Prêt_Non_Payé*Valeurs_Entrées,Solde_Final,""), "")</f>
        <v>48226.554715031583</v>
      </c>
    </row>
    <row r="98" spans="1:10" x14ac:dyDescent="0.2">
      <c r="A98" s="654"/>
      <c r="B98" s="655">
        <f>IFERROR(IF(Prêt_Non_Payé*Valeurs_Entrées,Numéro_Paiement,""), "")</f>
        <v>86</v>
      </c>
      <c r="C98" s="656">
        <f>IFERROR(IF(Prêt_Non_Payé*Valeurs_Entrées,Date_Paiement,""), "")</f>
        <v>47543</v>
      </c>
      <c r="D98" s="657">
        <f>IFERROR(IF(Prêt_Non_Payé*Valeurs_Entrées,Solde_Départ,""), "")</f>
        <v>48226.554715031583</v>
      </c>
      <c r="E98" s="657">
        <f>IFERROR(IF(Prêt_Non_Payé*Valeurs_Entrées,Mensualité,""), "")</f>
        <v>4467.9715970246652</v>
      </c>
      <c r="F98" s="657">
        <f>IFERROR(IF(Prêt_Non_Payé*Valeurs_Entrées,Capital,""), "")</f>
        <v>4315.2541737603697</v>
      </c>
      <c r="G98" s="657">
        <f>IFERROR(IF(Prêt_Non_Payé*Valeurs_Entrées,Intérêts,""), "")</f>
        <v>152.71742326429595</v>
      </c>
      <c r="H98" s="658">
        <f>IFERROR(IF(Prêt_Non_Payé*Valeurs_Entrées,Solde_Final,""), "")</f>
        <v>43911.300541271048</v>
      </c>
    </row>
    <row r="99" spans="1:10" x14ac:dyDescent="0.2">
      <c r="A99" s="654"/>
      <c r="B99" s="655">
        <f>IFERROR(IF(Prêt_Non_Payé*Valeurs_Entrées,Numéro_Paiement,""), "")</f>
        <v>87</v>
      </c>
      <c r="C99" s="656">
        <f>IFERROR(IF(Prêt_Non_Payé*Valeurs_Entrées,Date_Paiement,""), "")</f>
        <v>47574</v>
      </c>
      <c r="D99" s="657">
        <f>IFERROR(IF(Prêt_Non_Payé*Valeurs_Entrées,Solde_Départ,""), "")</f>
        <v>43911.300541271048</v>
      </c>
      <c r="E99" s="657">
        <f>IFERROR(IF(Prêt_Non_Payé*Valeurs_Entrées,Mensualité,""), "")</f>
        <v>4467.9715970246652</v>
      </c>
      <c r="F99" s="657">
        <f>IFERROR(IF(Prêt_Non_Payé*Valeurs_Entrées,Capital,""), "")</f>
        <v>4328.9191453106114</v>
      </c>
      <c r="G99" s="657">
        <f>IFERROR(IF(Prêt_Non_Payé*Valeurs_Entrées,Intérêts,""), "")</f>
        <v>139.05245171405474</v>
      </c>
      <c r="H99" s="658">
        <f>IFERROR(IF(Prêt_Non_Payé*Valeurs_Entrées,Solde_Final,""), "")</f>
        <v>39582.381395959994</v>
      </c>
    </row>
    <row r="100" spans="1:10" x14ac:dyDescent="0.2">
      <c r="A100" s="654"/>
      <c r="B100" s="655">
        <f>IFERROR(IF(Prêt_Non_Payé*Valeurs_Entrées,Numéro_Paiement,""), "")</f>
        <v>88</v>
      </c>
      <c r="C100" s="656">
        <f>IFERROR(IF(Prêt_Non_Payé*Valeurs_Entrées,Date_Paiement,""), "")</f>
        <v>47604</v>
      </c>
      <c r="D100" s="657">
        <f>IFERROR(IF(Prêt_Non_Payé*Valeurs_Entrées,Solde_Départ,""), "")</f>
        <v>39582.381395959994</v>
      </c>
      <c r="E100" s="657">
        <f>IFERROR(IF(Prêt_Non_Payé*Valeurs_Entrées,Mensualité,""), "")</f>
        <v>4467.9715970246652</v>
      </c>
      <c r="F100" s="657">
        <f>IFERROR(IF(Prêt_Non_Payé*Valeurs_Entrées,Capital,""), "")</f>
        <v>4342.6273892707613</v>
      </c>
      <c r="G100" s="657">
        <f>IFERROR(IF(Prêt_Non_Payé*Valeurs_Entrées,Intérêts,""), "")</f>
        <v>125.34420775390451</v>
      </c>
      <c r="H100" s="658">
        <f>IFERROR(IF(Prêt_Non_Payé*Valeurs_Entrées,Solde_Final,""), "")</f>
        <v>35239.754006689356</v>
      </c>
    </row>
    <row r="101" spans="1:10" x14ac:dyDescent="0.2">
      <c r="A101" s="654"/>
      <c r="B101" s="655">
        <f>IFERROR(IF(Prêt_Non_Payé*Valeurs_Entrées,Numéro_Paiement,""), "")</f>
        <v>89</v>
      </c>
      <c r="C101" s="656">
        <f>IFERROR(IF(Prêt_Non_Payé*Valeurs_Entrées,Date_Paiement,""), "")</f>
        <v>47635</v>
      </c>
      <c r="D101" s="657">
        <f>IFERROR(IF(Prêt_Non_Payé*Valeurs_Entrées,Solde_Départ,""), "")</f>
        <v>35239.754006689356</v>
      </c>
      <c r="E101" s="657">
        <f>IFERROR(IF(Prêt_Non_Payé*Valeurs_Entrées,Mensualité,""), "")</f>
        <v>4467.9715970246652</v>
      </c>
      <c r="F101" s="657">
        <f>IFERROR(IF(Prêt_Non_Payé*Valeurs_Entrées,Capital,""), "")</f>
        <v>4356.379042670118</v>
      </c>
      <c r="G101" s="657">
        <f>IFERROR(IF(Prêt_Non_Payé*Valeurs_Entrées,Intérêts,""), "")</f>
        <v>111.59255435454709</v>
      </c>
      <c r="H101" s="658">
        <f>IFERROR(IF(Prêt_Non_Payé*Valeurs_Entrées,Solde_Final,""), "")</f>
        <v>30883.374964018876</v>
      </c>
    </row>
    <row r="102" spans="1:10" x14ac:dyDescent="0.2">
      <c r="A102" s="654"/>
      <c r="B102" s="655">
        <f>IFERROR(IF(Prêt_Non_Payé*Valeurs_Entrées,Numéro_Paiement,""), "")</f>
        <v>90</v>
      </c>
      <c r="C102" s="656">
        <f>IFERROR(IF(Prêt_Non_Payé*Valeurs_Entrées,Date_Paiement,""), "")</f>
        <v>47665</v>
      </c>
      <c r="D102" s="657">
        <f>IFERROR(IF(Prêt_Non_Payé*Valeurs_Entrées,Solde_Départ,""), "")</f>
        <v>30883.374964018876</v>
      </c>
      <c r="E102" s="657">
        <f>IFERROR(IF(Prêt_Non_Payé*Valeurs_Entrées,Mensualité,""), "")</f>
        <v>4467.9715970246652</v>
      </c>
      <c r="F102" s="657">
        <f>IFERROR(IF(Prêt_Non_Payé*Valeurs_Entrées,Capital,""), "")</f>
        <v>4370.174242971907</v>
      </c>
      <c r="G102" s="657">
        <f>IFERROR(IF(Prêt_Non_Payé*Valeurs_Entrées,Intérêts,""), "")</f>
        <v>97.797354052758365</v>
      </c>
      <c r="H102" s="658">
        <f>IFERROR(IF(Prêt_Non_Payé*Valeurs_Entrées,Solde_Final,""), "")</f>
        <v>26513.200721047004</v>
      </c>
    </row>
    <row r="103" spans="1:10" x14ac:dyDescent="0.2">
      <c r="A103" s="654"/>
      <c r="B103" s="655">
        <f>IFERROR(IF(Prêt_Non_Payé*Valeurs_Entrées,Numéro_Paiement,""), "")</f>
        <v>91</v>
      </c>
      <c r="C103" s="656">
        <f>IFERROR(IF(Prêt_Non_Payé*Valeurs_Entrées,Date_Paiement,""), "")</f>
        <v>47696</v>
      </c>
      <c r="D103" s="657">
        <f>IFERROR(IF(Prêt_Non_Payé*Valeurs_Entrées,Solde_Départ,""), "")</f>
        <v>26513.200721047004</v>
      </c>
      <c r="E103" s="657">
        <f>IFERROR(IF(Prêt_Non_Payé*Valeurs_Entrées,Mensualité,""), "")</f>
        <v>4467.9715970246652</v>
      </c>
      <c r="F103" s="657">
        <f>IFERROR(IF(Prêt_Non_Payé*Valeurs_Entrées,Capital,""), "")</f>
        <v>4384.0131280746518</v>
      </c>
      <c r="G103" s="657">
        <f>IFERROR(IF(Prêt_Non_Payé*Valeurs_Entrées,Intérêts,""), "")</f>
        <v>83.958468950014023</v>
      </c>
      <c r="H103" s="658">
        <f>IFERROR(IF(Prêt_Non_Payé*Valeurs_Entrées,Solde_Final,""), "")</f>
        <v>22129.187592972186</v>
      </c>
    </row>
    <row r="104" spans="1:10" x14ac:dyDescent="0.2">
      <c r="A104" s="654"/>
      <c r="B104" s="655">
        <f>IFERROR(IF(Prêt_Non_Payé*Valeurs_Entrées,Numéro_Paiement,""), "")</f>
        <v>92</v>
      </c>
      <c r="C104" s="656">
        <f>IFERROR(IF(Prêt_Non_Payé*Valeurs_Entrées,Date_Paiement,""), "")</f>
        <v>47727</v>
      </c>
      <c r="D104" s="657">
        <f>IFERROR(IF(Prêt_Non_Payé*Valeurs_Entrées,Solde_Départ,""), "")</f>
        <v>22129.187592972186</v>
      </c>
      <c r="E104" s="657">
        <f>IFERROR(IF(Prêt_Non_Payé*Valeurs_Entrées,Mensualité,""), "")</f>
        <v>4467.9715970246652</v>
      </c>
      <c r="F104" s="657">
        <f>IFERROR(IF(Prêt_Non_Payé*Valeurs_Entrées,Capital,""), "")</f>
        <v>4397.8958363135544</v>
      </c>
      <c r="G104" s="657">
        <f>IFERROR(IF(Prêt_Non_Payé*Valeurs_Entrées,Intérêts,""), "")</f>
        <v>70.075760711110931</v>
      </c>
      <c r="H104" s="658">
        <f>IFERROR(IF(Prêt_Non_Payé*Valeurs_Entrées,Solde_Final,""), "")</f>
        <v>17731.291756658582</v>
      </c>
    </row>
    <row r="105" spans="1:10" x14ac:dyDescent="0.2">
      <c r="A105" s="654"/>
      <c r="B105" s="655">
        <f>IFERROR(IF(Prêt_Non_Payé*Valeurs_Entrées,Numéro_Paiement,""), "")</f>
        <v>93</v>
      </c>
      <c r="C105" s="656">
        <f>IFERROR(IF(Prêt_Non_Payé*Valeurs_Entrées,Date_Paiement,""), "")</f>
        <v>47757</v>
      </c>
      <c r="D105" s="657">
        <f>IFERROR(IF(Prêt_Non_Payé*Valeurs_Entrées,Solde_Départ,""), "")</f>
        <v>17731.291756658582</v>
      </c>
      <c r="E105" s="657">
        <f>IFERROR(IF(Prêt_Non_Payé*Valeurs_Entrées,Mensualité,""), "")</f>
        <v>4467.9715970246652</v>
      </c>
      <c r="F105" s="657">
        <f>IFERROR(IF(Prêt_Non_Payé*Valeurs_Entrées,Capital,""), "")</f>
        <v>4411.8225064618809</v>
      </c>
      <c r="G105" s="657">
        <f>IFERROR(IF(Prêt_Non_Payé*Valeurs_Entrées,Intérêts,""), "")</f>
        <v>56.149090562784686</v>
      </c>
      <c r="H105" s="658">
        <f>IFERROR(IF(Prêt_Non_Payé*Valeurs_Entrées,Solde_Final,""), "")</f>
        <v>13319.469250196475</v>
      </c>
    </row>
    <row r="106" spans="1:10" x14ac:dyDescent="0.2">
      <c r="A106" s="654"/>
      <c r="B106" s="655">
        <f>IFERROR(IF(Prêt_Non_Payé*Valeurs_Entrées,Numéro_Paiement,""), "")</f>
        <v>94</v>
      </c>
      <c r="C106" s="656">
        <f>IFERROR(IF(Prêt_Non_Payé*Valeurs_Entrées,Date_Paiement,""), "")</f>
        <v>47788</v>
      </c>
      <c r="D106" s="657">
        <f>IFERROR(IF(Prêt_Non_Payé*Valeurs_Entrées,Solde_Départ,""), "")</f>
        <v>13319.469250196475</v>
      </c>
      <c r="E106" s="657">
        <f>IFERROR(IF(Prêt_Non_Payé*Valeurs_Entrées,Mensualité,""), "")</f>
        <v>4467.9715970246652</v>
      </c>
      <c r="F106" s="657">
        <f>IFERROR(IF(Prêt_Non_Payé*Valeurs_Entrées,Capital,""), "")</f>
        <v>4425.793277732344</v>
      </c>
      <c r="G106" s="657">
        <f>IFERROR(IF(Prêt_Non_Payé*Valeurs_Entrées,Intérêts,""), "")</f>
        <v>42.178319292322072</v>
      </c>
      <c r="H106" s="658">
        <f>IFERROR(IF(Prêt_Non_Payé*Valeurs_Entrées,Solde_Final,""), "")</f>
        <v>8893.6759724639123</v>
      </c>
    </row>
    <row r="107" spans="1:10" ht="16" thickBot="1" x14ac:dyDescent="0.25">
      <c r="A107" s="659"/>
      <c r="B107" s="660">
        <f>IFERROR(IF(Prêt_Non_Payé*Valeurs_Entrées,Numéro_Paiement,""), "")</f>
        <v>95</v>
      </c>
      <c r="C107" s="661">
        <f>IFERROR(IF(Prêt_Non_Payé*Valeurs_Entrées,Date_Paiement,""), "")</f>
        <v>47818</v>
      </c>
      <c r="D107" s="662">
        <f>IFERROR(IF(Prêt_Non_Payé*Valeurs_Entrées,Solde_Départ,""), "")</f>
        <v>8893.6759724639123</v>
      </c>
      <c r="E107" s="662">
        <f>IFERROR(IF(Prêt_Non_Payé*Valeurs_Entrées,Mensualité,""), "")</f>
        <v>4467.9715970246652</v>
      </c>
      <c r="F107" s="662">
        <f>IFERROR(IF(Prêt_Non_Payé*Valeurs_Entrées,Capital,""), "")</f>
        <v>4439.8082897784952</v>
      </c>
      <c r="G107" s="662">
        <f>IFERROR(IF(Prêt_Non_Payé*Valeurs_Entrées,Intérêts,""), "")</f>
        <v>28.163307246169644</v>
      </c>
      <c r="H107" s="663">
        <f>IFERROR(IF(Prêt_Non_Payé*Valeurs_Entrées,Solde_Final,""), "")</f>
        <v>4453.8676826851442</v>
      </c>
      <c r="J107" s="664">
        <f t="shared" si="1"/>
        <v>1253.2862919941585</v>
      </c>
    </row>
    <row r="108" spans="1:10" x14ac:dyDescent="0.2">
      <c r="A108" s="649"/>
      <c r="B108" s="650">
        <f>IFERROR(IF(Prêt_Non_Payé*Valeurs_Entrées,Numéro_Paiement,""), "")</f>
        <v>96</v>
      </c>
      <c r="C108" s="651">
        <f>IFERROR(IF(Prêt_Non_Payé*Valeurs_Entrées,Date_Paiement,""), "")</f>
        <v>47849</v>
      </c>
      <c r="D108" s="652">
        <f>IFERROR(IF(Prêt_Non_Payé*Valeurs_Entrées,Solde_Départ,""), "")</f>
        <v>4453.8676826851442</v>
      </c>
      <c r="E108" s="652">
        <f>IFERROR(IF(Prêt_Non_Payé*Valeurs_Entrées,Mensualité,""), "")</f>
        <v>4467.9715970246652</v>
      </c>
      <c r="F108" s="652">
        <f>IFERROR(IF(Prêt_Non_Payé*Valeurs_Entrées,Capital,""), "")</f>
        <v>4453.8676826961282</v>
      </c>
      <c r="G108" s="652">
        <f>IFERROR(IF(Prêt_Non_Payé*Valeurs_Entrées,Intérêts,""), "")</f>
        <v>14.103914328537739</v>
      </c>
      <c r="H108" s="653">
        <f>IFERROR(IF(Prêt_Non_Payé*Valeurs_Entrées,Solde_Final,""), "")</f>
        <v>-1.1059455573558807E-8</v>
      </c>
    </row>
    <row r="109" spans="1:10" x14ac:dyDescent="0.2">
      <c r="A109" s="654"/>
      <c r="B109" s="655" t="str">
        <f>IFERROR(IF(Prêt_Non_Payé*Valeurs_Entrées,Numéro_Paiement,""), "")</f>
        <v/>
      </c>
      <c r="C109" s="656" t="str">
        <f>IFERROR(IF(Prêt_Non_Payé*Valeurs_Entrées,Date_Paiement,""), "")</f>
        <v/>
      </c>
      <c r="D109" s="657" t="str">
        <f>IFERROR(IF(Prêt_Non_Payé*Valeurs_Entrées,Solde_Départ,""), "")</f>
        <v/>
      </c>
      <c r="E109" s="657" t="str">
        <f>IFERROR(IF(Prêt_Non_Payé*Valeurs_Entrées,Mensualité,""), "")</f>
        <v/>
      </c>
      <c r="F109" s="657" t="str">
        <f>IFERROR(IF(Prêt_Non_Payé*Valeurs_Entrées,Capital,""), "")</f>
        <v/>
      </c>
      <c r="G109" s="657" t="str">
        <f>IFERROR(IF(Prêt_Non_Payé*Valeurs_Entrées,Intérêts,""), "")</f>
        <v/>
      </c>
      <c r="H109" s="658" t="str">
        <f>IFERROR(IF(Prêt_Non_Payé*Valeurs_Entrées,Solde_Final,""), "")</f>
        <v/>
      </c>
    </row>
    <row r="110" spans="1:10" x14ac:dyDescent="0.2">
      <c r="A110" s="654"/>
      <c r="B110" s="655" t="str">
        <f>IFERROR(IF(Prêt_Non_Payé*Valeurs_Entrées,Numéro_Paiement,""), "")</f>
        <v/>
      </c>
      <c r="C110" s="656" t="str">
        <f>IFERROR(IF(Prêt_Non_Payé*Valeurs_Entrées,Date_Paiement,""), "")</f>
        <v/>
      </c>
      <c r="D110" s="657" t="str">
        <f>IFERROR(IF(Prêt_Non_Payé*Valeurs_Entrées,Solde_Départ,""), "")</f>
        <v/>
      </c>
      <c r="E110" s="657" t="str">
        <f>IFERROR(IF(Prêt_Non_Payé*Valeurs_Entrées,Mensualité,""), "")</f>
        <v/>
      </c>
      <c r="F110" s="657" t="str">
        <f>IFERROR(IF(Prêt_Non_Payé*Valeurs_Entrées,Capital,""), "")</f>
        <v/>
      </c>
      <c r="G110" s="657" t="str">
        <f>IFERROR(IF(Prêt_Non_Payé*Valeurs_Entrées,Intérêts,""), "")</f>
        <v/>
      </c>
      <c r="H110" s="658" t="str">
        <f>IFERROR(IF(Prêt_Non_Payé*Valeurs_Entrées,Solde_Final,""), "")</f>
        <v/>
      </c>
    </row>
    <row r="111" spans="1:10" x14ac:dyDescent="0.2">
      <c r="A111" s="654"/>
      <c r="B111" s="655" t="str">
        <f>IFERROR(IF(Prêt_Non_Payé*Valeurs_Entrées,Numéro_Paiement,""), "")</f>
        <v/>
      </c>
      <c r="C111" s="656" t="str">
        <f>IFERROR(IF(Prêt_Non_Payé*Valeurs_Entrées,Date_Paiement,""), "")</f>
        <v/>
      </c>
      <c r="D111" s="657" t="str">
        <f>IFERROR(IF(Prêt_Non_Payé*Valeurs_Entrées,Solde_Départ,""), "")</f>
        <v/>
      </c>
      <c r="E111" s="657" t="str">
        <f>IFERROR(IF(Prêt_Non_Payé*Valeurs_Entrées,Mensualité,""), "")</f>
        <v/>
      </c>
      <c r="F111" s="657" t="str">
        <f>IFERROR(IF(Prêt_Non_Payé*Valeurs_Entrées,Capital,""), "")</f>
        <v/>
      </c>
      <c r="G111" s="657" t="str">
        <f>IFERROR(IF(Prêt_Non_Payé*Valeurs_Entrées,Intérêts,""), "")</f>
        <v/>
      </c>
      <c r="H111" s="658" t="str">
        <f>IFERROR(IF(Prêt_Non_Payé*Valeurs_Entrées,Solde_Final,""), "")</f>
        <v/>
      </c>
    </row>
    <row r="112" spans="1:10" x14ac:dyDescent="0.2">
      <c r="A112" s="654"/>
      <c r="B112" s="655" t="str">
        <f>IFERROR(IF(Prêt_Non_Payé*Valeurs_Entrées,Numéro_Paiement,""), "")</f>
        <v/>
      </c>
      <c r="C112" s="656" t="str">
        <f>IFERROR(IF(Prêt_Non_Payé*Valeurs_Entrées,Date_Paiement,""), "")</f>
        <v/>
      </c>
      <c r="D112" s="657" t="str">
        <f>IFERROR(IF(Prêt_Non_Payé*Valeurs_Entrées,Solde_Départ,""), "")</f>
        <v/>
      </c>
      <c r="E112" s="657" t="str">
        <f>IFERROR(IF(Prêt_Non_Payé*Valeurs_Entrées,Mensualité,""), "")</f>
        <v/>
      </c>
      <c r="F112" s="657" t="str">
        <f>IFERROR(IF(Prêt_Non_Payé*Valeurs_Entrées,Capital,""), "")</f>
        <v/>
      </c>
      <c r="G112" s="657" t="str">
        <f>IFERROR(IF(Prêt_Non_Payé*Valeurs_Entrées,Intérêts,""), "")</f>
        <v/>
      </c>
      <c r="H112" s="658" t="str">
        <f>IFERROR(IF(Prêt_Non_Payé*Valeurs_Entrées,Solde_Final,""), "")</f>
        <v/>
      </c>
    </row>
    <row r="113" spans="1:10" x14ac:dyDescent="0.2">
      <c r="A113" s="654"/>
      <c r="B113" s="655" t="str">
        <f>IFERROR(IF(Prêt_Non_Payé*Valeurs_Entrées,Numéro_Paiement,""), "")</f>
        <v/>
      </c>
      <c r="C113" s="656" t="str">
        <f>IFERROR(IF(Prêt_Non_Payé*Valeurs_Entrées,Date_Paiement,""), "")</f>
        <v/>
      </c>
      <c r="D113" s="657" t="str">
        <f>IFERROR(IF(Prêt_Non_Payé*Valeurs_Entrées,Solde_Départ,""), "")</f>
        <v/>
      </c>
      <c r="E113" s="657" t="str">
        <f>IFERROR(IF(Prêt_Non_Payé*Valeurs_Entrées,Mensualité,""), "")</f>
        <v/>
      </c>
      <c r="F113" s="657" t="str">
        <f>IFERROR(IF(Prêt_Non_Payé*Valeurs_Entrées,Capital,""), "")</f>
        <v/>
      </c>
      <c r="G113" s="657" t="str">
        <f>IFERROR(IF(Prêt_Non_Payé*Valeurs_Entrées,Intérêts,""), "")</f>
        <v/>
      </c>
      <c r="H113" s="658" t="str">
        <f>IFERROR(IF(Prêt_Non_Payé*Valeurs_Entrées,Solde_Final,""), "")</f>
        <v/>
      </c>
    </row>
    <row r="114" spans="1:10" x14ac:dyDescent="0.2">
      <c r="A114" s="654"/>
      <c r="B114" s="655" t="str">
        <f>IFERROR(IF(Prêt_Non_Payé*Valeurs_Entrées,Numéro_Paiement,""), "")</f>
        <v/>
      </c>
      <c r="C114" s="656" t="str">
        <f>IFERROR(IF(Prêt_Non_Payé*Valeurs_Entrées,Date_Paiement,""), "")</f>
        <v/>
      </c>
      <c r="D114" s="657" t="str">
        <f>IFERROR(IF(Prêt_Non_Payé*Valeurs_Entrées,Solde_Départ,""), "")</f>
        <v/>
      </c>
      <c r="E114" s="657" t="str">
        <f>IFERROR(IF(Prêt_Non_Payé*Valeurs_Entrées,Mensualité,""), "")</f>
        <v/>
      </c>
      <c r="F114" s="657" t="str">
        <f>IFERROR(IF(Prêt_Non_Payé*Valeurs_Entrées,Capital,""), "")</f>
        <v/>
      </c>
      <c r="G114" s="657" t="str">
        <f>IFERROR(IF(Prêt_Non_Payé*Valeurs_Entrées,Intérêts,""), "")</f>
        <v/>
      </c>
      <c r="H114" s="658" t="str">
        <f>IFERROR(IF(Prêt_Non_Payé*Valeurs_Entrées,Solde_Final,""), "")</f>
        <v/>
      </c>
    </row>
    <row r="115" spans="1:10" x14ac:dyDescent="0.2">
      <c r="A115" s="654"/>
      <c r="B115" s="655" t="str">
        <f>IFERROR(IF(Prêt_Non_Payé*Valeurs_Entrées,Numéro_Paiement,""), "")</f>
        <v/>
      </c>
      <c r="C115" s="656" t="str">
        <f>IFERROR(IF(Prêt_Non_Payé*Valeurs_Entrées,Date_Paiement,""), "")</f>
        <v/>
      </c>
      <c r="D115" s="657" t="str">
        <f>IFERROR(IF(Prêt_Non_Payé*Valeurs_Entrées,Solde_Départ,""), "")</f>
        <v/>
      </c>
      <c r="E115" s="657" t="str">
        <f>IFERROR(IF(Prêt_Non_Payé*Valeurs_Entrées,Mensualité,""), "")</f>
        <v/>
      </c>
      <c r="F115" s="657" t="str">
        <f>IFERROR(IF(Prêt_Non_Payé*Valeurs_Entrées,Capital,""), "")</f>
        <v/>
      </c>
      <c r="G115" s="657" t="str">
        <f>IFERROR(IF(Prêt_Non_Payé*Valeurs_Entrées,Intérêts,""), "")</f>
        <v/>
      </c>
      <c r="H115" s="658" t="str">
        <f>IFERROR(IF(Prêt_Non_Payé*Valeurs_Entrées,Solde_Final,""), "")</f>
        <v/>
      </c>
    </row>
    <row r="116" spans="1:10" x14ac:dyDescent="0.2">
      <c r="A116" s="654"/>
      <c r="B116" s="655" t="str">
        <f>IFERROR(IF(Prêt_Non_Payé*Valeurs_Entrées,Numéro_Paiement,""), "")</f>
        <v/>
      </c>
      <c r="C116" s="656" t="str">
        <f>IFERROR(IF(Prêt_Non_Payé*Valeurs_Entrées,Date_Paiement,""), "")</f>
        <v/>
      </c>
      <c r="D116" s="657" t="str">
        <f>IFERROR(IF(Prêt_Non_Payé*Valeurs_Entrées,Solde_Départ,""), "")</f>
        <v/>
      </c>
      <c r="E116" s="657" t="str">
        <f>IFERROR(IF(Prêt_Non_Payé*Valeurs_Entrées,Mensualité,""), "")</f>
        <v/>
      </c>
      <c r="F116" s="657" t="str">
        <f>IFERROR(IF(Prêt_Non_Payé*Valeurs_Entrées,Capital,""), "")</f>
        <v/>
      </c>
      <c r="G116" s="657" t="str">
        <f>IFERROR(IF(Prêt_Non_Payé*Valeurs_Entrées,Intérêts,""), "")</f>
        <v/>
      </c>
      <c r="H116" s="658" t="str">
        <f>IFERROR(IF(Prêt_Non_Payé*Valeurs_Entrées,Solde_Final,""), "")</f>
        <v/>
      </c>
    </row>
    <row r="117" spans="1:10" x14ac:dyDescent="0.2">
      <c r="A117" s="654"/>
      <c r="B117" s="655" t="str">
        <f>IFERROR(IF(Prêt_Non_Payé*Valeurs_Entrées,Numéro_Paiement,""), "")</f>
        <v/>
      </c>
      <c r="C117" s="656" t="str">
        <f>IFERROR(IF(Prêt_Non_Payé*Valeurs_Entrées,Date_Paiement,""), "")</f>
        <v/>
      </c>
      <c r="D117" s="657" t="str">
        <f>IFERROR(IF(Prêt_Non_Payé*Valeurs_Entrées,Solde_Départ,""), "")</f>
        <v/>
      </c>
      <c r="E117" s="657" t="str">
        <f>IFERROR(IF(Prêt_Non_Payé*Valeurs_Entrées,Mensualité,""), "")</f>
        <v/>
      </c>
      <c r="F117" s="657" t="str">
        <f>IFERROR(IF(Prêt_Non_Payé*Valeurs_Entrées,Capital,""), "")</f>
        <v/>
      </c>
      <c r="G117" s="657" t="str">
        <f>IFERROR(IF(Prêt_Non_Payé*Valeurs_Entrées,Intérêts,""), "")</f>
        <v/>
      </c>
      <c r="H117" s="658" t="str">
        <f>IFERROR(IF(Prêt_Non_Payé*Valeurs_Entrées,Solde_Final,""), "")</f>
        <v/>
      </c>
    </row>
    <row r="118" spans="1:10" x14ac:dyDescent="0.2">
      <c r="A118" s="654"/>
      <c r="B118" s="655" t="str">
        <f>IFERROR(IF(Prêt_Non_Payé*Valeurs_Entrées,Numéro_Paiement,""), "")</f>
        <v/>
      </c>
      <c r="C118" s="656" t="str">
        <f>IFERROR(IF(Prêt_Non_Payé*Valeurs_Entrées,Date_Paiement,""), "")</f>
        <v/>
      </c>
      <c r="D118" s="657" t="str">
        <f>IFERROR(IF(Prêt_Non_Payé*Valeurs_Entrées,Solde_Départ,""), "")</f>
        <v/>
      </c>
      <c r="E118" s="657" t="str">
        <f>IFERROR(IF(Prêt_Non_Payé*Valeurs_Entrées,Mensualité,""), "")</f>
        <v/>
      </c>
      <c r="F118" s="657" t="str">
        <f>IFERROR(IF(Prêt_Non_Payé*Valeurs_Entrées,Capital,""), "")</f>
        <v/>
      </c>
      <c r="G118" s="657" t="str">
        <f>IFERROR(IF(Prêt_Non_Payé*Valeurs_Entrées,Intérêts,""), "")</f>
        <v/>
      </c>
      <c r="H118" s="658" t="str">
        <f>IFERROR(IF(Prêt_Non_Payé*Valeurs_Entrées,Solde_Final,""), "")</f>
        <v/>
      </c>
    </row>
    <row r="119" spans="1:10" ht="16" thickBot="1" x14ac:dyDescent="0.25">
      <c r="A119" s="659"/>
      <c r="B119" s="660" t="str">
        <f>IFERROR(IF(Prêt_Non_Payé*Valeurs_Entrées,Numéro_Paiement,""), "")</f>
        <v/>
      </c>
      <c r="C119" s="661" t="str">
        <f>IFERROR(IF(Prêt_Non_Payé*Valeurs_Entrées,Date_Paiement,""), "")</f>
        <v/>
      </c>
      <c r="D119" s="662" t="str">
        <f>IFERROR(IF(Prêt_Non_Payé*Valeurs_Entrées,Solde_Départ,""), "")</f>
        <v/>
      </c>
      <c r="E119" s="662" t="str">
        <f>IFERROR(IF(Prêt_Non_Payé*Valeurs_Entrées,Mensualité,""), "")</f>
        <v/>
      </c>
      <c r="F119" s="662" t="str">
        <f>IFERROR(IF(Prêt_Non_Payé*Valeurs_Entrées,Capital,""), "")</f>
        <v/>
      </c>
      <c r="G119" s="662" t="str">
        <f>IFERROR(IF(Prêt_Non_Payé*Valeurs_Entrées,Intérêts,""), "")</f>
        <v/>
      </c>
      <c r="H119" s="663" t="str">
        <f>IFERROR(IF(Prêt_Non_Payé*Valeurs_Entrées,Solde_Final,""), "")</f>
        <v/>
      </c>
      <c r="J119" s="664">
        <f t="shared" si="1"/>
        <v>14.103914328537739</v>
      </c>
    </row>
    <row r="120" spans="1:10" x14ac:dyDescent="0.2">
      <c r="A120" s="649"/>
      <c r="B120" s="650" t="str">
        <f>IFERROR(IF(Prêt_Non_Payé*Valeurs_Entrées,Numéro_Paiement,""), "")</f>
        <v/>
      </c>
      <c r="C120" s="651" t="str">
        <f>IFERROR(IF(Prêt_Non_Payé*Valeurs_Entrées,Date_Paiement,""), "")</f>
        <v/>
      </c>
      <c r="D120" s="652" t="str">
        <f>IFERROR(IF(Prêt_Non_Payé*Valeurs_Entrées,Solde_Départ,""), "")</f>
        <v/>
      </c>
      <c r="E120" s="652" t="str">
        <f>IFERROR(IF(Prêt_Non_Payé*Valeurs_Entrées,Mensualité,""), "")</f>
        <v/>
      </c>
      <c r="F120" s="652" t="str">
        <f>IFERROR(IF(Prêt_Non_Payé*Valeurs_Entrées,Capital,""), "")</f>
        <v/>
      </c>
      <c r="G120" s="652" t="str">
        <f>IFERROR(IF(Prêt_Non_Payé*Valeurs_Entrées,Intérêts,""), "")</f>
        <v/>
      </c>
      <c r="H120" s="653" t="str">
        <f>IFERROR(IF(Prêt_Non_Payé*Valeurs_Entrées,Solde_Final,""), "")</f>
        <v/>
      </c>
    </row>
    <row r="121" spans="1:10" x14ac:dyDescent="0.2">
      <c r="A121" s="654"/>
      <c r="B121" s="655" t="str">
        <f>IFERROR(IF(Prêt_Non_Payé*Valeurs_Entrées,Numéro_Paiement,""), "")</f>
        <v/>
      </c>
      <c r="C121" s="656" t="str">
        <f>IFERROR(IF(Prêt_Non_Payé*Valeurs_Entrées,Date_Paiement,""), "")</f>
        <v/>
      </c>
      <c r="D121" s="657" t="str">
        <f>IFERROR(IF(Prêt_Non_Payé*Valeurs_Entrées,Solde_Départ,""), "")</f>
        <v/>
      </c>
      <c r="E121" s="657" t="str">
        <f>IFERROR(IF(Prêt_Non_Payé*Valeurs_Entrées,Mensualité,""), "")</f>
        <v/>
      </c>
      <c r="F121" s="657" t="str">
        <f>IFERROR(IF(Prêt_Non_Payé*Valeurs_Entrées,Capital,""), "")</f>
        <v/>
      </c>
      <c r="G121" s="657" t="str">
        <f>IFERROR(IF(Prêt_Non_Payé*Valeurs_Entrées,Intérêts,""), "")</f>
        <v/>
      </c>
      <c r="H121" s="658" t="str">
        <f>IFERROR(IF(Prêt_Non_Payé*Valeurs_Entrées,Solde_Final,""), "")</f>
        <v/>
      </c>
    </row>
    <row r="122" spans="1:10" x14ac:dyDescent="0.2">
      <c r="A122" s="654"/>
      <c r="B122" s="655" t="str">
        <f>IFERROR(IF(Prêt_Non_Payé*Valeurs_Entrées,Numéro_Paiement,""), "")</f>
        <v/>
      </c>
      <c r="C122" s="656" t="str">
        <f>IFERROR(IF(Prêt_Non_Payé*Valeurs_Entrées,Date_Paiement,""), "")</f>
        <v/>
      </c>
      <c r="D122" s="657" t="str">
        <f>IFERROR(IF(Prêt_Non_Payé*Valeurs_Entrées,Solde_Départ,""), "")</f>
        <v/>
      </c>
      <c r="E122" s="657" t="str">
        <f>IFERROR(IF(Prêt_Non_Payé*Valeurs_Entrées,Mensualité,""), "")</f>
        <v/>
      </c>
      <c r="F122" s="657" t="str">
        <f>IFERROR(IF(Prêt_Non_Payé*Valeurs_Entrées,Capital,""), "")</f>
        <v/>
      </c>
      <c r="G122" s="657" t="str">
        <f>IFERROR(IF(Prêt_Non_Payé*Valeurs_Entrées,Intérêts,""), "")</f>
        <v/>
      </c>
      <c r="H122" s="658" t="str">
        <f>IFERROR(IF(Prêt_Non_Payé*Valeurs_Entrées,Solde_Final,""), "")</f>
        <v/>
      </c>
    </row>
    <row r="123" spans="1:10" x14ac:dyDescent="0.2">
      <c r="A123" s="654"/>
      <c r="B123" s="655" t="str">
        <f>IFERROR(IF(Prêt_Non_Payé*Valeurs_Entrées,Numéro_Paiement,""), "")</f>
        <v/>
      </c>
      <c r="C123" s="656" t="str">
        <f>IFERROR(IF(Prêt_Non_Payé*Valeurs_Entrées,Date_Paiement,""), "")</f>
        <v/>
      </c>
      <c r="D123" s="657" t="str">
        <f>IFERROR(IF(Prêt_Non_Payé*Valeurs_Entrées,Solde_Départ,""), "")</f>
        <v/>
      </c>
      <c r="E123" s="657" t="str">
        <f>IFERROR(IF(Prêt_Non_Payé*Valeurs_Entrées,Mensualité,""), "")</f>
        <v/>
      </c>
      <c r="F123" s="657" t="str">
        <f>IFERROR(IF(Prêt_Non_Payé*Valeurs_Entrées,Capital,""), "")</f>
        <v/>
      </c>
      <c r="G123" s="657" t="str">
        <f>IFERROR(IF(Prêt_Non_Payé*Valeurs_Entrées,Intérêts,""), "")</f>
        <v/>
      </c>
      <c r="H123" s="658" t="str">
        <f>IFERROR(IF(Prêt_Non_Payé*Valeurs_Entrées,Solde_Final,""), "")</f>
        <v/>
      </c>
    </row>
    <row r="124" spans="1:10" x14ac:dyDescent="0.2">
      <c r="A124" s="654"/>
      <c r="B124" s="655" t="str">
        <f>IFERROR(IF(Prêt_Non_Payé*Valeurs_Entrées,Numéro_Paiement,""), "")</f>
        <v/>
      </c>
      <c r="C124" s="656" t="str">
        <f>IFERROR(IF(Prêt_Non_Payé*Valeurs_Entrées,Date_Paiement,""), "")</f>
        <v/>
      </c>
      <c r="D124" s="657" t="str">
        <f>IFERROR(IF(Prêt_Non_Payé*Valeurs_Entrées,Solde_Départ,""), "")</f>
        <v/>
      </c>
      <c r="E124" s="657" t="str">
        <f>IFERROR(IF(Prêt_Non_Payé*Valeurs_Entrées,Mensualité,""), "")</f>
        <v/>
      </c>
      <c r="F124" s="657" t="str">
        <f>IFERROR(IF(Prêt_Non_Payé*Valeurs_Entrées,Capital,""), "")</f>
        <v/>
      </c>
      <c r="G124" s="657" t="str">
        <f>IFERROR(IF(Prêt_Non_Payé*Valeurs_Entrées,Intérêts,""), "")</f>
        <v/>
      </c>
      <c r="H124" s="658" t="str">
        <f>IFERROR(IF(Prêt_Non_Payé*Valeurs_Entrées,Solde_Final,""), "")</f>
        <v/>
      </c>
    </row>
    <row r="125" spans="1:10" x14ac:dyDescent="0.2">
      <c r="A125" s="654"/>
      <c r="B125" s="655" t="str">
        <f>IFERROR(IF(Prêt_Non_Payé*Valeurs_Entrées,Numéro_Paiement,""), "")</f>
        <v/>
      </c>
      <c r="C125" s="656" t="str">
        <f>IFERROR(IF(Prêt_Non_Payé*Valeurs_Entrées,Date_Paiement,""), "")</f>
        <v/>
      </c>
      <c r="D125" s="657" t="str">
        <f>IFERROR(IF(Prêt_Non_Payé*Valeurs_Entrées,Solde_Départ,""), "")</f>
        <v/>
      </c>
      <c r="E125" s="657" t="str">
        <f>IFERROR(IF(Prêt_Non_Payé*Valeurs_Entrées,Mensualité,""), "")</f>
        <v/>
      </c>
      <c r="F125" s="657" t="str">
        <f>IFERROR(IF(Prêt_Non_Payé*Valeurs_Entrées,Capital,""), "")</f>
        <v/>
      </c>
      <c r="G125" s="657" t="str">
        <f>IFERROR(IF(Prêt_Non_Payé*Valeurs_Entrées,Intérêts,""), "")</f>
        <v/>
      </c>
      <c r="H125" s="658" t="str">
        <f>IFERROR(IF(Prêt_Non_Payé*Valeurs_Entrées,Solde_Final,""), "")</f>
        <v/>
      </c>
    </row>
    <row r="126" spans="1:10" x14ac:dyDescent="0.2">
      <c r="A126" s="654"/>
      <c r="B126" s="655" t="str">
        <f>IFERROR(IF(Prêt_Non_Payé*Valeurs_Entrées,Numéro_Paiement,""), "")</f>
        <v/>
      </c>
      <c r="C126" s="656" t="str">
        <f>IFERROR(IF(Prêt_Non_Payé*Valeurs_Entrées,Date_Paiement,""), "")</f>
        <v/>
      </c>
      <c r="D126" s="657" t="str">
        <f>IFERROR(IF(Prêt_Non_Payé*Valeurs_Entrées,Solde_Départ,""), "")</f>
        <v/>
      </c>
      <c r="E126" s="657" t="str">
        <f>IFERROR(IF(Prêt_Non_Payé*Valeurs_Entrées,Mensualité,""), "")</f>
        <v/>
      </c>
      <c r="F126" s="657" t="str">
        <f>IFERROR(IF(Prêt_Non_Payé*Valeurs_Entrées,Capital,""), "")</f>
        <v/>
      </c>
      <c r="G126" s="657" t="str">
        <f>IFERROR(IF(Prêt_Non_Payé*Valeurs_Entrées,Intérêts,""), "")</f>
        <v/>
      </c>
      <c r="H126" s="658" t="str">
        <f>IFERROR(IF(Prêt_Non_Payé*Valeurs_Entrées,Solde_Final,""), "")</f>
        <v/>
      </c>
    </row>
    <row r="127" spans="1:10" x14ac:dyDescent="0.2">
      <c r="A127" s="654"/>
      <c r="B127" s="655" t="str">
        <f>IFERROR(IF(Prêt_Non_Payé*Valeurs_Entrées,Numéro_Paiement,""), "")</f>
        <v/>
      </c>
      <c r="C127" s="656" t="str">
        <f>IFERROR(IF(Prêt_Non_Payé*Valeurs_Entrées,Date_Paiement,""), "")</f>
        <v/>
      </c>
      <c r="D127" s="657" t="str">
        <f>IFERROR(IF(Prêt_Non_Payé*Valeurs_Entrées,Solde_Départ,""), "")</f>
        <v/>
      </c>
      <c r="E127" s="657" t="str">
        <f>IFERROR(IF(Prêt_Non_Payé*Valeurs_Entrées,Mensualité,""), "")</f>
        <v/>
      </c>
      <c r="F127" s="657" t="str">
        <f>IFERROR(IF(Prêt_Non_Payé*Valeurs_Entrées,Capital,""), "")</f>
        <v/>
      </c>
      <c r="G127" s="657" t="str">
        <f>IFERROR(IF(Prêt_Non_Payé*Valeurs_Entrées,Intérêts,""), "")</f>
        <v/>
      </c>
      <c r="H127" s="658" t="str">
        <f>IFERROR(IF(Prêt_Non_Payé*Valeurs_Entrées,Solde_Final,""), "")</f>
        <v/>
      </c>
    </row>
    <row r="128" spans="1:10" x14ac:dyDescent="0.2">
      <c r="A128" s="654"/>
      <c r="B128" s="655" t="str">
        <f>IFERROR(IF(Prêt_Non_Payé*Valeurs_Entrées,Numéro_Paiement,""), "")</f>
        <v/>
      </c>
      <c r="C128" s="656" t="str">
        <f>IFERROR(IF(Prêt_Non_Payé*Valeurs_Entrées,Date_Paiement,""), "")</f>
        <v/>
      </c>
      <c r="D128" s="657" t="str">
        <f>IFERROR(IF(Prêt_Non_Payé*Valeurs_Entrées,Solde_Départ,""), "")</f>
        <v/>
      </c>
      <c r="E128" s="657" t="str">
        <f>IFERROR(IF(Prêt_Non_Payé*Valeurs_Entrées,Mensualité,""), "")</f>
        <v/>
      </c>
      <c r="F128" s="657" t="str">
        <f>IFERROR(IF(Prêt_Non_Payé*Valeurs_Entrées,Capital,""), "")</f>
        <v/>
      </c>
      <c r="G128" s="657" t="str">
        <f>IFERROR(IF(Prêt_Non_Payé*Valeurs_Entrées,Intérêts,""), "")</f>
        <v/>
      </c>
      <c r="H128" s="658" t="str">
        <f>IFERROR(IF(Prêt_Non_Payé*Valeurs_Entrées,Solde_Final,""), "")</f>
        <v/>
      </c>
    </row>
    <row r="129" spans="1:10" x14ac:dyDescent="0.2">
      <c r="A129" s="654"/>
      <c r="B129" s="655" t="str">
        <f>IFERROR(IF(Prêt_Non_Payé*Valeurs_Entrées,Numéro_Paiement,""), "")</f>
        <v/>
      </c>
      <c r="C129" s="656" t="str">
        <f>IFERROR(IF(Prêt_Non_Payé*Valeurs_Entrées,Date_Paiement,""), "")</f>
        <v/>
      </c>
      <c r="D129" s="657" t="str">
        <f>IFERROR(IF(Prêt_Non_Payé*Valeurs_Entrées,Solde_Départ,""), "")</f>
        <v/>
      </c>
      <c r="E129" s="657" t="str">
        <f>IFERROR(IF(Prêt_Non_Payé*Valeurs_Entrées,Mensualité,""), "")</f>
        <v/>
      </c>
      <c r="F129" s="657" t="str">
        <f>IFERROR(IF(Prêt_Non_Payé*Valeurs_Entrées,Capital,""), "")</f>
        <v/>
      </c>
      <c r="G129" s="657" t="str">
        <f>IFERROR(IF(Prêt_Non_Payé*Valeurs_Entrées,Intérêts,""), "")</f>
        <v/>
      </c>
      <c r="H129" s="658" t="str">
        <f>IFERROR(IF(Prêt_Non_Payé*Valeurs_Entrées,Solde_Final,""), "")</f>
        <v/>
      </c>
    </row>
    <row r="130" spans="1:10" x14ac:dyDescent="0.2">
      <c r="A130" s="654"/>
      <c r="B130" s="655" t="str">
        <f>IFERROR(IF(Prêt_Non_Payé*Valeurs_Entrées,Numéro_Paiement,""), "")</f>
        <v/>
      </c>
      <c r="C130" s="656" t="str">
        <f>IFERROR(IF(Prêt_Non_Payé*Valeurs_Entrées,Date_Paiement,""), "")</f>
        <v/>
      </c>
      <c r="D130" s="657" t="str">
        <f>IFERROR(IF(Prêt_Non_Payé*Valeurs_Entrées,Solde_Départ,""), "")</f>
        <v/>
      </c>
      <c r="E130" s="657" t="str">
        <f>IFERROR(IF(Prêt_Non_Payé*Valeurs_Entrées,Mensualité,""), "")</f>
        <v/>
      </c>
      <c r="F130" s="657" t="str">
        <f>IFERROR(IF(Prêt_Non_Payé*Valeurs_Entrées,Capital,""), "")</f>
        <v/>
      </c>
      <c r="G130" s="657" t="str">
        <f>IFERROR(IF(Prêt_Non_Payé*Valeurs_Entrées,Intérêts,""), "")</f>
        <v/>
      </c>
      <c r="H130" s="658" t="str">
        <f>IFERROR(IF(Prêt_Non_Payé*Valeurs_Entrées,Solde_Final,""), "")</f>
        <v/>
      </c>
    </row>
    <row r="131" spans="1:10" ht="16" thickBot="1" x14ac:dyDescent="0.25">
      <c r="A131" s="659"/>
      <c r="B131" s="660" t="str">
        <f>IFERROR(IF(Prêt_Non_Payé*Valeurs_Entrées,Numéro_Paiement,""), "")</f>
        <v/>
      </c>
      <c r="C131" s="661" t="str">
        <f>IFERROR(IF(Prêt_Non_Payé*Valeurs_Entrées,Date_Paiement,""), "")</f>
        <v/>
      </c>
      <c r="D131" s="662" t="str">
        <f>IFERROR(IF(Prêt_Non_Payé*Valeurs_Entrées,Solde_Départ,""), "")</f>
        <v/>
      </c>
      <c r="E131" s="662" t="str">
        <f>IFERROR(IF(Prêt_Non_Payé*Valeurs_Entrées,Mensualité,""), "")</f>
        <v/>
      </c>
      <c r="F131" s="662" t="str">
        <f>IFERROR(IF(Prêt_Non_Payé*Valeurs_Entrées,Capital,""), "")</f>
        <v/>
      </c>
      <c r="G131" s="662" t="str">
        <f>IFERROR(IF(Prêt_Non_Payé*Valeurs_Entrées,Intérêts,""), "")</f>
        <v/>
      </c>
      <c r="H131" s="663" t="str">
        <f>IFERROR(IF(Prêt_Non_Payé*Valeurs_Entrées,Solde_Final,""), "")</f>
        <v/>
      </c>
      <c r="J131" s="664">
        <f t="shared" si="1"/>
        <v>0</v>
      </c>
    </row>
    <row r="132" spans="1:10" x14ac:dyDescent="0.2">
      <c r="A132" s="649"/>
      <c r="B132" s="650" t="str">
        <f>IFERROR(IF(Prêt_Non_Payé*Valeurs_Entrées,Numéro_Paiement,""), "")</f>
        <v/>
      </c>
      <c r="C132" s="651" t="str">
        <f>IFERROR(IF(Prêt_Non_Payé*Valeurs_Entrées,Date_Paiement,""), "")</f>
        <v/>
      </c>
      <c r="D132" s="652" t="str">
        <f>IFERROR(IF(Prêt_Non_Payé*Valeurs_Entrées,Solde_Départ,""), "")</f>
        <v/>
      </c>
      <c r="E132" s="652" t="str">
        <f>IFERROR(IF(Prêt_Non_Payé*Valeurs_Entrées,Mensualité,""), "")</f>
        <v/>
      </c>
      <c r="F132" s="652" t="str">
        <f>IFERROR(IF(Prêt_Non_Payé*Valeurs_Entrées,Capital,""), "")</f>
        <v/>
      </c>
      <c r="G132" s="652" t="str">
        <f>IFERROR(IF(Prêt_Non_Payé*Valeurs_Entrées,Intérêts,""), "")</f>
        <v/>
      </c>
      <c r="H132" s="653" t="str">
        <f>IFERROR(IF(Prêt_Non_Payé*Valeurs_Entrées,Solde_Final,""), "")</f>
        <v/>
      </c>
    </row>
    <row r="133" spans="1:10" x14ac:dyDescent="0.2">
      <c r="A133" s="654"/>
      <c r="B133" s="655" t="str">
        <f>IFERROR(IF(Prêt_Non_Payé*Valeurs_Entrées,Numéro_Paiement,""), "")</f>
        <v/>
      </c>
      <c r="C133" s="656" t="str">
        <f>IFERROR(IF(Prêt_Non_Payé*Valeurs_Entrées,Date_Paiement,""), "")</f>
        <v/>
      </c>
      <c r="D133" s="657" t="str">
        <f>IFERROR(IF(Prêt_Non_Payé*Valeurs_Entrées,Solde_Départ,""), "")</f>
        <v/>
      </c>
      <c r="E133" s="657" t="str">
        <f>IFERROR(IF(Prêt_Non_Payé*Valeurs_Entrées,Mensualité,""), "")</f>
        <v/>
      </c>
      <c r="F133" s="657" t="str">
        <f>IFERROR(IF(Prêt_Non_Payé*Valeurs_Entrées,Capital,""), "")</f>
        <v/>
      </c>
      <c r="G133" s="657" t="str">
        <f>IFERROR(IF(Prêt_Non_Payé*Valeurs_Entrées,Intérêts,""), "")</f>
        <v/>
      </c>
      <c r="H133" s="658" t="str">
        <f>IFERROR(IF(Prêt_Non_Payé*Valeurs_Entrées,Solde_Final,""), "")</f>
        <v/>
      </c>
    </row>
    <row r="134" spans="1:10" x14ac:dyDescent="0.2">
      <c r="A134" s="654"/>
      <c r="B134" s="655" t="str">
        <f>IFERROR(IF(Prêt_Non_Payé*Valeurs_Entrées,Numéro_Paiement,""), "")</f>
        <v/>
      </c>
      <c r="C134" s="656" t="str">
        <f>IFERROR(IF(Prêt_Non_Payé*Valeurs_Entrées,Date_Paiement,""), "")</f>
        <v/>
      </c>
      <c r="D134" s="657" t="str">
        <f>IFERROR(IF(Prêt_Non_Payé*Valeurs_Entrées,Solde_Départ,""), "")</f>
        <v/>
      </c>
      <c r="E134" s="657" t="str">
        <f>IFERROR(IF(Prêt_Non_Payé*Valeurs_Entrées,Mensualité,""), "")</f>
        <v/>
      </c>
      <c r="F134" s="657" t="str">
        <f>IFERROR(IF(Prêt_Non_Payé*Valeurs_Entrées,Capital,""), "")</f>
        <v/>
      </c>
      <c r="G134" s="657" t="str">
        <f>IFERROR(IF(Prêt_Non_Payé*Valeurs_Entrées,Intérêts,""), "")</f>
        <v/>
      </c>
      <c r="H134" s="658" t="str">
        <f>IFERROR(IF(Prêt_Non_Payé*Valeurs_Entrées,Solde_Final,""), "")</f>
        <v/>
      </c>
    </row>
    <row r="135" spans="1:10" x14ac:dyDescent="0.2">
      <c r="A135" s="654"/>
      <c r="B135" s="655" t="str">
        <f>IFERROR(IF(Prêt_Non_Payé*Valeurs_Entrées,Numéro_Paiement,""), "")</f>
        <v/>
      </c>
      <c r="C135" s="656" t="str">
        <f>IFERROR(IF(Prêt_Non_Payé*Valeurs_Entrées,Date_Paiement,""), "")</f>
        <v/>
      </c>
      <c r="D135" s="657" t="str">
        <f>IFERROR(IF(Prêt_Non_Payé*Valeurs_Entrées,Solde_Départ,""), "")</f>
        <v/>
      </c>
      <c r="E135" s="657" t="str">
        <f>IFERROR(IF(Prêt_Non_Payé*Valeurs_Entrées,Mensualité,""), "")</f>
        <v/>
      </c>
      <c r="F135" s="657" t="str">
        <f>IFERROR(IF(Prêt_Non_Payé*Valeurs_Entrées,Capital,""), "")</f>
        <v/>
      </c>
      <c r="G135" s="657" t="str">
        <f>IFERROR(IF(Prêt_Non_Payé*Valeurs_Entrées,Intérêts,""), "")</f>
        <v/>
      </c>
      <c r="H135" s="658" t="str">
        <f>IFERROR(IF(Prêt_Non_Payé*Valeurs_Entrées,Solde_Final,""), "")</f>
        <v/>
      </c>
    </row>
    <row r="136" spans="1:10" x14ac:dyDescent="0.2">
      <c r="A136" s="654"/>
      <c r="B136" s="655" t="str">
        <f>IFERROR(IF(Prêt_Non_Payé*Valeurs_Entrées,Numéro_Paiement,""), "")</f>
        <v/>
      </c>
      <c r="C136" s="656" t="str">
        <f>IFERROR(IF(Prêt_Non_Payé*Valeurs_Entrées,Date_Paiement,""), "")</f>
        <v/>
      </c>
      <c r="D136" s="657" t="str">
        <f>IFERROR(IF(Prêt_Non_Payé*Valeurs_Entrées,Solde_Départ,""), "")</f>
        <v/>
      </c>
      <c r="E136" s="657" t="str">
        <f>IFERROR(IF(Prêt_Non_Payé*Valeurs_Entrées,Mensualité,""), "")</f>
        <v/>
      </c>
      <c r="F136" s="657" t="str">
        <f>IFERROR(IF(Prêt_Non_Payé*Valeurs_Entrées,Capital,""), "")</f>
        <v/>
      </c>
      <c r="G136" s="657" t="str">
        <f>IFERROR(IF(Prêt_Non_Payé*Valeurs_Entrées,Intérêts,""), "")</f>
        <v/>
      </c>
      <c r="H136" s="658" t="str">
        <f>IFERROR(IF(Prêt_Non_Payé*Valeurs_Entrées,Solde_Final,""), "")</f>
        <v/>
      </c>
    </row>
    <row r="137" spans="1:10" x14ac:dyDescent="0.2">
      <c r="A137" s="654"/>
      <c r="B137" s="655" t="str">
        <f>IFERROR(IF(Prêt_Non_Payé*Valeurs_Entrées,Numéro_Paiement,""), "")</f>
        <v/>
      </c>
      <c r="C137" s="656" t="str">
        <f>IFERROR(IF(Prêt_Non_Payé*Valeurs_Entrées,Date_Paiement,""), "")</f>
        <v/>
      </c>
      <c r="D137" s="657" t="str">
        <f>IFERROR(IF(Prêt_Non_Payé*Valeurs_Entrées,Solde_Départ,""), "")</f>
        <v/>
      </c>
      <c r="E137" s="657" t="str">
        <f>IFERROR(IF(Prêt_Non_Payé*Valeurs_Entrées,Mensualité,""), "")</f>
        <v/>
      </c>
      <c r="F137" s="657" t="str">
        <f>IFERROR(IF(Prêt_Non_Payé*Valeurs_Entrées,Capital,""), "")</f>
        <v/>
      </c>
      <c r="G137" s="657" t="str">
        <f>IFERROR(IF(Prêt_Non_Payé*Valeurs_Entrées,Intérêts,""), "")</f>
        <v/>
      </c>
      <c r="H137" s="658" t="str">
        <f>IFERROR(IF(Prêt_Non_Payé*Valeurs_Entrées,Solde_Final,""), "")</f>
        <v/>
      </c>
    </row>
    <row r="138" spans="1:10" x14ac:dyDescent="0.2">
      <c r="A138" s="654"/>
      <c r="B138" s="655" t="str">
        <f>IFERROR(IF(Prêt_Non_Payé*Valeurs_Entrées,Numéro_Paiement,""), "")</f>
        <v/>
      </c>
      <c r="C138" s="656" t="str">
        <f>IFERROR(IF(Prêt_Non_Payé*Valeurs_Entrées,Date_Paiement,""), "")</f>
        <v/>
      </c>
      <c r="D138" s="657" t="str">
        <f>IFERROR(IF(Prêt_Non_Payé*Valeurs_Entrées,Solde_Départ,""), "")</f>
        <v/>
      </c>
      <c r="E138" s="657" t="str">
        <f>IFERROR(IF(Prêt_Non_Payé*Valeurs_Entrées,Mensualité,""), "")</f>
        <v/>
      </c>
      <c r="F138" s="657" t="str">
        <f>IFERROR(IF(Prêt_Non_Payé*Valeurs_Entrées,Capital,""), "")</f>
        <v/>
      </c>
      <c r="G138" s="657" t="str">
        <f>IFERROR(IF(Prêt_Non_Payé*Valeurs_Entrées,Intérêts,""), "")</f>
        <v/>
      </c>
      <c r="H138" s="658" t="str">
        <f>IFERROR(IF(Prêt_Non_Payé*Valeurs_Entrées,Solde_Final,""), "")</f>
        <v/>
      </c>
    </row>
    <row r="139" spans="1:10" x14ac:dyDescent="0.2">
      <c r="A139" s="654"/>
      <c r="B139" s="655" t="str">
        <f>IFERROR(IF(Prêt_Non_Payé*Valeurs_Entrées,Numéro_Paiement,""), "")</f>
        <v/>
      </c>
      <c r="C139" s="656" t="str">
        <f>IFERROR(IF(Prêt_Non_Payé*Valeurs_Entrées,Date_Paiement,""), "")</f>
        <v/>
      </c>
      <c r="D139" s="657" t="str">
        <f>IFERROR(IF(Prêt_Non_Payé*Valeurs_Entrées,Solde_Départ,""), "")</f>
        <v/>
      </c>
      <c r="E139" s="657" t="str">
        <f>IFERROR(IF(Prêt_Non_Payé*Valeurs_Entrées,Mensualité,""), "")</f>
        <v/>
      </c>
      <c r="F139" s="657" t="str">
        <f>IFERROR(IF(Prêt_Non_Payé*Valeurs_Entrées,Capital,""), "")</f>
        <v/>
      </c>
      <c r="G139" s="657" t="str">
        <f>IFERROR(IF(Prêt_Non_Payé*Valeurs_Entrées,Intérêts,""), "")</f>
        <v/>
      </c>
      <c r="H139" s="658" t="str">
        <f>IFERROR(IF(Prêt_Non_Payé*Valeurs_Entrées,Solde_Final,""), "")</f>
        <v/>
      </c>
    </row>
    <row r="140" spans="1:10" x14ac:dyDescent="0.2">
      <c r="A140" s="654"/>
      <c r="B140" s="655" t="str">
        <f>IFERROR(IF(Prêt_Non_Payé*Valeurs_Entrées,Numéro_Paiement,""), "")</f>
        <v/>
      </c>
      <c r="C140" s="656" t="str">
        <f>IFERROR(IF(Prêt_Non_Payé*Valeurs_Entrées,Date_Paiement,""), "")</f>
        <v/>
      </c>
      <c r="D140" s="657" t="str">
        <f>IFERROR(IF(Prêt_Non_Payé*Valeurs_Entrées,Solde_Départ,""), "")</f>
        <v/>
      </c>
      <c r="E140" s="657" t="str">
        <f>IFERROR(IF(Prêt_Non_Payé*Valeurs_Entrées,Mensualité,""), "")</f>
        <v/>
      </c>
      <c r="F140" s="657" t="str">
        <f>IFERROR(IF(Prêt_Non_Payé*Valeurs_Entrées,Capital,""), "")</f>
        <v/>
      </c>
      <c r="G140" s="657" t="str">
        <f>IFERROR(IF(Prêt_Non_Payé*Valeurs_Entrées,Intérêts,""), "")</f>
        <v/>
      </c>
      <c r="H140" s="658" t="str">
        <f>IFERROR(IF(Prêt_Non_Payé*Valeurs_Entrées,Solde_Final,""), "")</f>
        <v/>
      </c>
    </row>
    <row r="141" spans="1:10" x14ac:dyDescent="0.2">
      <c r="A141" s="654"/>
      <c r="B141" s="655" t="str">
        <f>IFERROR(IF(Prêt_Non_Payé*Valeurs_Entrées,Numéro_Paiement,""), "")</f>
        <v/>
      </c>
      <c r="C141" s="656" t="str">
        <f>IFERROR(IF(Prêt_Non_Payé*Valeurs_Entrées,Date_Paiement,""), "")</f>
        <v/>
      </c>
      <c r="D141" s="657" t="str">
        <f>IFERROR(IF(Prêt_Non_Payé*Valeurs_Entrées,Solde_Départ,""), "")</f>
        <v/>
      </c>
      <c r="E141" s="657" t="str">
        <f>IFERROR(IF(Prêt_Non_Payé*Valeurs_Entrées,Mensualité,""), "")</f>
        <v/>
      </c>
      <c r="F141" s="657" t="str">
        <f>IFERROR(IF(Prêt_Non_Payé*Valeurs_Entrées,Capital,""), "")</f>
        <v/>
      </c>
      <c r="G141" s="657" t="str">
        <f>IFERROR(IF(Prêt_Non_Payé*Valeurs_Entrées,Intérêts,""), "")</f>
        <v/>
      </c>
      <c r="H141" s="658" t="str">
        <f>IFERROR(IF(Prêt_Non_Payé*Valeurs_Entrées,Solde_Final,""), "")</f>
        <v/>
      </c>
    </row>
    <row r="142" spans="1:10" x14ac:dyDescent="0.2">
      <c r="A142" s="654"/>
      <c r="B142" s="655" t="str">
        <f>IFERROR(IF(Prêt_Non_Payé*Valeurs_Entrées,Numéro_Paiement,""), "")</f>
        <v/>
      </c>
      <c r="C142" s="656" t="str">
        <f>IFERROR(IF(Prêt_Non_Payé*Valeurs_Entrées,Date_Paiement,""), "")</f>
        <v/>
      </c>
      <c r="D142" s="657" t="str">
        <f>IFERROR(IF(Prêt_Non_Payé*Valeurs_Entrées,Solde_Départ,""), "")</f>
        <v/>
      </c>
      <c r="E142" s="657" t="str">
        <f>IFERROR(IF(Prêt_Non_Payé*Valeurs_Entrées,Mensualité,""), "")</f>
        <v/>
      </c>
      <c r="F142" s="657" t="str">
        <f>IFERROR(IF(Prêt_Non_Payé*Valeurs_Entrées,Capital,""), "")</f>
        <v/>
      </c>
      <c r="G142" s="657" t="str">
        <f>IFERROR(IF(Prêt_Non_Payé*Valeurs_Entrées,Intérêts,""), "")</f>
        <v/>
      </c>
      <c r="H142" s="658" t="str">
        <f>IFERROR(IF(Prêt_Non_Payé*Valeurs_Entrées,Solde_Final,""), "")</f>
        <v/>
      </c>
    </row>
    <row r="143" spans="1:10" ht="16" thickBot="1" x14ac:dyDescent="0.25">
      <c r="A143" s="659"/>
      <c r="B143" s="660" t="str">
        <f>IFERROR(IF(Prêt_Non_Payé*Valeurs_Entrées,Numéro_Paiement,""), "")</f>
        <v/>
      </c>
      <c r="C143" s="661" t="str">
        <f>IFERROR(IF(Prêt_Non_Payé*Valeurs_Entrées,Date_Paiement,""), "")</f>
        <v/>
      </c>
      <c r="D143" s="662" t="str">
        <f>IFERROR(IF(Prêt_Non_Payé*Valeurs_Entrées,Solde_Départ,""), "")</f>
        <v/>
      </c>
      <c r="E143" s="662" t="str">
        <f>IFERROR(IF(Prêt_Non_Payé*Valeurs_Entrées,Mensualité,""), "")</f>
        <v/>
      </c>
      <c r="F143" s="662" t="str">
        <f>IFERROR(IF(Prêt_Non_Payé*Valeurs_Entrées,Capital,""), "")</f>
        <v/>
      </c>
      <c r="G143" s="662" t="str">
        <f>IFERROR(IF(Prêt_Non_Payé*Valeurs_Entrées,Intérêts,""), "")</f>
        <v/>
      </c>
      <c r="H143" s="663" t="str">
        <f>IFERROR(IF(Prêt_Non_Payé*Valeurs_Entrées,Solde_Final,""), "")</f>
        <v/>
      </c>
      <c r="J143" s="664">
        <f t="shared" ref="J143:J191" si="2">SUM(G132:G143)</f>
        <v>0</v>
      </c>
    </row>
    <row r="144" spans="1:10" x14ac:dyDescent="0.2">
      <c r="A144" s="649"/>
      <c r="B144" s="650" t="str">
        <f>IFERROR(IF(Prêt_Non_Payé*Valeurs_Entrées,Numéro_Paiement,""), "")</f>
        <v/>
      </c>
      <c r="C144" s="651" t="str">
        <f>IFERROR(IF(Prêt_Non_Payé*Valeurs_Entrées,Date_Paiement,""), "")</f>
        <v/>
      </c>
      <c r="D144" s="652" t="str">
        <f>IFERROR(IF(Prêt_Non_Payé*Valeurs_Entrées,Solde_Départ,""), "")</f>
        <v/>
      </c>
      <c r="E144" s="652" t="str">
        <f>IFERROR(IF(Prêt_Non_Payé*Valeurs_Entrées,Mensualité,""), "")</f>
        <v/>
      </c>
      <c r="F144" s="652" t="str">
        <f>IFERROR(IF(Prêt_Non_Payé*Valeurs_Entrées,Capital,""), "")</f>
        <v/>
      </c>
      <c r="G144" s="652" t="str">
        <f>IFERROR(IF(Prêt_Non_Payé*Valeurs_Entrées,Intérêts,""), "")</f>
        <v/>
      </c>
      <c r="H144" s="653" t="str">
        <f>IFERROR(IF(Prêt_Non_Payé*Valeurs_Entrées,Solde_Final,""), "")</f>
        <v/>
      </c>
    </row>
    <row r="145" spans="1:10" x14ac:dyDescent="0.2">
      <c r="A145" s="654"/>
      <c r="B145" s="655" t="str">
        <f>IFERROR(IF(Prêt_Non_Payé*Valeurs_Entrées,Numéro_Paiement,""), "")</f>
        <v/>
      </c>
      <c r="C145" s="656" t="str">
        <f>IFERROR(IF(Prêt_Non_Payé*Valeurs_Entrées,Date_Paiement,""), "")</f>
        <v/>
      </c>
      <c r="D145" s="657" t="str">
        <f>IFERROR(IF(Prêt_Non_Payé*Valeurs_Entrées,Solde_Départ,""), "")</f>
        <v/>
      </c>
      <c r="E145" s="657" t="str">
        <f>IFERROR(IF(Prêt_Non_Payé*Valeurs_Entrées,Mensualité,""), "")</f>
        <v/>
      </c>
      <c r="F145" s="657" t="str">
        <f>IFERROR(IF(Prêt_Non_Payé*Valeurs_Entrées,Capital,""), "")</f>
        <v/>
      </c>
      <c r="G145" s="657" t="str">
        <f>IFERROR(IF(Prêt_Non_Payé*Valeurs_Entrées,Intérêts,""), "")</f>
        <v/>
      </c>
      <c r="H145" s="658" t="str">
        <f>IFERROR(IF(Prêt_Non_Payé*Valeurs_Entrées,Solde_Final,""), "")</f>
        <v/>
      </c>
    </row>
    <row r="146" spans="1:10" x14ac:dyDescent="0.2">
      <c r="A146" s="654"/>
      <c r="B146" s="655" t="str">
        <f>IFERROR(IF(Prêt_Non_Payé*Valeurs_Entrées,Numéro_Paiement,""), "")</f>
        <v/>
      </c>
      <c r="C146" s="656" t="str">
        <f>IFERROR(IF(Prêt_Non_Payé*Valeurs_Entrées,Date_Paiement,""), "")</f>
        <v/>
      </c>
      <c r="D146" s="657" t="str">
        <f>IFERROR(IF(Prêt_Non_Payé*Valeurs_Entrées,Solde_Départ,""), "")</f>
        <v/>
      </c>
      <c r="E146" s="657" t="str">
        <f>IFERROR(IF(Prêt_Non_Payé*Valeurs_Entrées,Mensualité,""), "")</f>
        <v/>
      </c>
      <c r="F146" s="657" t="str">
        <f>IFERROR(IF(Prêt_Non_Payé*Valeurs_Entrées,Capital,""), "")</f>
        <v/>
      </c>
      <c r="G146" s="657" t="str">
        <f>IFERROR(IF(Prêt_Non_Payé*Valeurs_Entrées,Intérêts,""), "")</f>
        <v/>
      </c>
      <c r="H146" s="658" t="str">
        <f>IFERROR(IF(Prêt_Non_Payé*Valeurs_Entrées,Solde_Final,""), "")</f>
        <v/>
      </c>
    </row>
    <row r="147" spans="1:10" x14ac:dyDescent="0.2">
      <c r="A147" s="654"/>
      <c r="B147" s="655" t="str">
        <f>IFERROR(IF(Prêt_Non_Payé*Valeurs_Entrées,Numéro_Paiement,""), "")</f>
        <v/>
      </c>
      <c r="C147" s="656" t="str">
        <f>IFERROR(IF(Prêt_Non_Payé*Valeurs_Entrées,Date_Paiement,""), "")</f>
        <v/>
      </c>
      <c r="D147" s="657" t="str">
        <f>IFERROR(IF(Prêt_Non_Payé*Valeurs_Entrées,Solde_Départ,""), "")</f>
        <v/>
      </c>
      <c r="E147" s="657" t="str">
        <f>IFERROR(IF(Prêt_Non_Payé*Valeurs_Entrées,Mensualité,""), "")</f>
        <v/>
      </c>
      <c r="F147" s="657" t="str">
        <f>IFERROR(IF(Prêt_Non_Payé*Valeurs_Entrées,Capital,""), "")</f>
        <v/>
      </c>
      <c r="G147" s="657" t="str">
        <f>IFERROR(IF(Prêt_Non_Payé*Valeurs_Entrées,Intérêts,""), "")</f>
        <v/>
      </c>
      <c r="H147" s="658" t="str">
        <f>IFERROR(IF(Prêt_Non_Payé*Valeurs_Entrées,Solde_Final,""), "")</f>
        <v/>
      </c>
    </row>
    <row r="148" spans="1:10" x14ac:dyDescent="0.2">
      <c r="A148" s="654"/>
      <c r="B148" s="655" t="str">
        <f>IFERROR(IF(Prêt_Non_Payé*Valeurs_Entrées,Numéro_Paiement,""), "")</f>
        <v/>
      </c>
      <c r="C148" s="656" t="str">
        <f>IFERROR(IF(Prêt_Non_Payé*Valeurs_Entrées,Date_Paiement,""), "")</f>
        <v/>
      </c>
      <c r="D148" s="657" t="str">
        <f>IFERROR(IF(Prêt_Non_Payé*Valeurs_Entrées,Solde_Départ,""), "")</f>
        <v/>
      </c>
      <c r="E148" s="657" t="str">
        <f>IFERROR(IF(Prêt_Non_Payé*Valeurs_Entrées,Mensualité,""), "")</f>
        <v/>
      </c>
      <c r="F148" s="657" t="str">
        <f>IFERROR(IF(Prêt_Non_Payé*Valeurs_Entrées,Capital,""), "")</f>
        <v/>
      </c>
      <c r="G148" s="657" t="str">
        <f>IFERROR(IF(Prêt_Non_Payé*Valeurs_Entrées,Intérêts,""), "")</f>
        <v/>
      </c>
      <c r="H148" s="658" t="str">
        <f>IFERROR(IF(Prêt_Non_Payé*Valeurs_Entrées,Solde_Final,""), "")</f>
        <v/>
      </c>
    </row>
    <row r="149" spans="1:10" x14ac:dyDescent="0.2">
      <c r="A149" s="654"/>
      <c r="B149" s="655" t="str">
        <f>IFERROR(IF(Prêt_Non_Payé*Valeurs_Entrées,Numéro_Paiement,""), "")</f>
        <v/>
      </c>
      <c r="C149" s="656" t="str">
        <f>IFERROR(IF(Prêt_Non_Payé*Valeurs_Entrées,Date_Paiement,""), "")</f>
        <v/>
      </c>
      <c r="D149" s="657" t="str">
        <f>IFERROR(IF(Prêt_Non_Payé*Valeurs_Entrées,Solde_Départ,""), "")</f>
        <v/>
      </c>
      <c r="E149" s="657" t="str">
        <f>IFERROR(IF(Prêt_Non_Payé*Valeurs_Entrées,Mensualité,""), "")</f>
        <v/>
      </c>
      <c r="F149" s="657" t="str">
        <f>IFERROR(IF(Prêt_Non_Payé*Valeurs_Entrées,Capital,""), "")</f>
        <v/>
      </c>
      <c r="G149" s="657" t="str">
        <f>IFERROR(IF(Prêt_Non_Payé*Valeurs_Entrées,Intérêts,""), "")</f>
        <v/>
      </c>
      <c r="H149" s="658" t="str">
        <f>IFERROR(IF(Prêt_Non_Payé*Valeurs_Entrées,Solde_Final,""), "")</f>
        <v/>
      </c>
    </row>
    <row r="150" spans="1:10" x14ac:dyDescent="0.2">
      <c r="A150" s="654"/>
      <c r="B150" s="655" t="str">
        <f>IFERROR(IF(Prêt_Non_Payé*Valeurs_Entrées,Numéro_Paiement,""), "")</f>
        <v/>
      </c>
      <c r="C150" s="656" t="str">
        <f>IFERROR(IF(Prêt_Non_Payé*Valeurs_Entrées,Date_Paiement,""), "")</f>
        <v/>
      </c>
      <c r="D150" s="657" t="str">
        <f>IFERROR(IF(Prêt_Non_Payé*Valeurs_Entrées,Solde_Départ,""), "")</f>
        <v/>
      </c>
      <c r="E150" s="657" t="str">
        <f>IFERROR(IF(Prêt_Non_Payé*Valeurs_Entrées,Mensualité,""), "")</f>
        <v/>
      </c>
      <c r="F150" s="657" t="str">
        <f>IFERROR(IF(Prêt_Non_Payé*Valeurs_Entrées,Capital,""), "")</f>
        <v/>
      </c>
      <c r="G150" s="657" t="str">
        <f>IFERROR(IF(Prêt_Non_Payé*Valeurs_Entrées,Intérêts,""), "")</f>
        <v/>
      </c>
      <c r="H150" s="658" t="str">
        <f>IFERROR(IF(Prêt_Non_Payé*Valeurs_Entrées,Solde_Final,""), "")</f>
        <v/>
      </c>
    </row>
    <row r="151" spans="1:10" x14ac:dyDescent="0.2">
      <c r="A151" s="654"/>
      <c r="B151" s="655" t="str">
        <f>IFERROR(IF(Prêt_Non_Payé*Valeurs_Entrées,Numéro_Paiement,""), "")</f>
        <v/>
      </c>
      <c r="C151" s="656" t="str">
        <f>IFERROR(IF(Prêt_Non_Payé*Valeurs_Entrées,Date_Paiement,""), "")</f>
        <v/>
      </c>
      <c r="D151" s="657" t="str">
        <f>IFERROR(IF(Prêt_Non_Payé*Valeurs_Entrées,Solde_Départ,""), "")</f>
        <v/>
      </c>
      <c r="E151" s="657" t="str">
        <f>IFERROR(IF(Prêt_Non_Payé*Valeurs_Entrées,Mensualité,""), "")</f>
        <v/>
      </c>
      <c r="F151" s="657" t="str">
        <f>IFERROR(IF(Prêt_Non_Payé*Valeurs_Entrées,Capital,""), "")</f>
        <v/>
      </c>
      <c r="G151" s="657" t="str">
        <f>IFERROR(IF(Prêt_Non_Payé*Valeurs_Entrées,Intérêts,""), "")</f>
        <v/>
      </c>
      <c r="H151" s="658" t="str">
        <f>IFERROR(IF(Prêt_Non_Payé*Valeurs_Entrées,Solde_Final,""), "")</f>
        <v/>
      </c>
    </row>
    <row r="152" spans="1:10" x14ac:dyDescent="0.2">
      <c r="A152" s="654"/>
      <c r="B152" s="655" t="str">
        <f>IFERROR(IF(Prêt_Non_Payé*Valeurs_Entrées,Numéro_Paiement,""), "")</f>
        <v/>
      </c>
      <c r="C152" s="656" t="str">
        <f>IFERROR(IF(Prêt_Non_Payé*Valeurs_Entrées,Date_Paiement,""), "")</f>
        <v/>
      </c>
      <c r="D152" s="657" t="str">
        <f>IFERROR(IF(Prêt_Non_Payé*Valeurs_Entrées,Solde_Départ,""), "")</f>
        <v/>
      </c>
      <c r="E152" s="657" t="str">
        <f>IFERROR(IF(Prêt_Non_Payé*Valeurs_Entrées,Mensualité,""), "")</f>
        <v/>
      </c>
      <c r="F152" s="657" t="str">
        <f>IFERROR(IF(Prêt_Non_Payé*Valeurs_Entrées,Capital,""), "")</f>
        <v/>
      </c>
      <c r="G152" s="657" t="str">
        <f>IFERROR(IF(Prêt_Non_Payé*Valeurs_Entrées,Intérêts,""), "")</f>
        <v/>
      </c>
      <c r="H152" s="658" t="str">
        <f>IFERROR(IF(Prêt_Non_Payé*Valeurs_Entrées,Solde_Final,""), "")</f>
        <v/>
      </c>
    </row>
    <row r="153" spans="1:10" x14ac:dyDescent="0.2">
      <c r="A153" s="654"/>
      <c r="B153" s="655" t="str">
        <f>IFERROR(IF(Prêt_Non_Payé*Valeurs_Entrées,Numéro_Paiement,""), "")</f>
        <v/>
      </c>
      <c r="C153" s="656" t="str">
        <f>IFERROR(IF(Prêt_Non_Payé*Valeurs_Entrées,Date_Paiement,""), "")</f>
        <v/>
      </c>
      <c r="D153" s="657" t="str">
        <f>IFERROR(IF(Prêt_Non_Payé*Valeurs_Entrées,Solde_Départ,""), "")</f>
        <v/>
      </c>
      <c r="E153" s="657" t="str">
        <f>IFERROR(IF(Prêt_Non_Payé*Valeurs_Entrées,Mensualité,""), "")</f>
        <v/>
      </c>
      <c r="F153" s="657" t="str">
        <f>IFERROR(IF(Prêt_Non_Payé*Valeurs_Entrées,Capital,""), "")</f>
        <v/>
      </c>
      <c r="G153" s="657" t="str">
        <f>IFERROR(IF(Prêt_Non_Payé*Valeurs_Entrées,Intérêts,""), "")</f>
        <v/>
      </c>
      <c r="H153" s="658" t="str">
        <f>IFERROR(IF(Prêt_Non_Payé*Valeurs_Entrées,Solde_Final,""), "")</f>
        <v/>
      </c>
    </row>
    <row r="154" spans="1:10" x14ac:dyDescent="0.2">
      <c r="A154" s="654"/>
      <c r="B154" s="655" t="str">
        <f>IFERROR(IF(Prêt_Non_Payé*Valeurs_Entrées,Numéro_Paiement,""), "")</f>
        <v/>
      </c>
      <c r="C154" s="656" t="str">
        <f>IFERROR(IF(Prêt_Non_Payé*Valeurs_Entrées,Date_Paiement,""), "")</f>
        <v/>
      </c>
      <c r="D154" s="657" t="str">
        <f>IFERROR(IF(Prêt_Non_Payé*Valeurs_Entrées,Solde_Départ,""), "")</f>
        <v/>
      </c>
      <c r="E154" s="657" t="str">
        <f>IFERROR(IF(Prêt_Non_Payé*Valeurs_Entrées,Mensualité,""), "")</f>
        <v/>
      </c>
      <c r="F154" s="657" t="str">
        <f>IFERROR(IF(Prêt_Non_Payé*Valeurs_Entrées,Capital,""), "")</f>
        <v/>
      </c>
      <c r="G154" s="657" t="str">
        <f>IFERROR(IF(Prêt_Non_Payé*Valeurs_Entrées,Intérêts,""), "")</f>
        <v/>
      </c>
      <c r="H154" s="658" t="str">
        <f>IFERROR(IF(Prêt_Non_Payé*Valeurs_Entrées,Solde_Final,""), "")</f>
        <v/>
      </c>
    </row>
    <row r="155" spans="1:10" ht="16" thickBot="1" x14ac:dyDescent="0.25">
      <c r="A155" s="659"/>
      <c r="B155" s="660" t="str">
        <f>IFERROR(IF(Prêt_Non_Payé*Valeurs_Entrées,Numéro_Paiement,""), "")</f>
        <v/>
      </c>
      <c r="C155" s="661" t="str">
        <f>IFERROR(IF(Prêt_Non_Payé*Valeurs_Entrées,Date_Paiement,""), "")</f>
        <v/>
      </c>
      <c r="D155" s="662" t="str">
        <f>IFERROR(IF(Prêt_Non_Payé*Valeurs_Entrées,Solde_Départ,""), "")</f>
        <v/>
      </c>
      <c r="E155" s="662" t="str">
        <f>IFERROR(IF(Prêt_Non_Payé*Valeurs_Entrées,Mensualité,""), "")</f>
        <v/>
      </c>
      <c r="F155" s="662" t="str">
        <f>IFERROR(IF(Prêt_Non_Payé*Valeurs_Entrées,Capital,""), "")</f>
        <v/>
      </c>
      <c r="G155" s="662" t="str">
        <f>IFERROR(IF(Prêt_Non_Payé*Valeurs_Entrées,Intérêts,""), "")</f>
        <v/>
      </c>
      <c r="H155" s="663" t="str">
        <f>IFERROR(IF(Prêt_Non_Payé*Valeurs_Entrées,Solde_Final,""), "")</f>
        <v/>
      </c>
      <c r="J155" s="664">
        <f t="shared" si="2"/>
        <v>0</v>
      </c>
    </row>
    <row r="156" spans="1:10" x14ac:dyDescent="0.2">
      <c r="A156" s="649"/>
      <c r="B156" s="650" t="str">
        <f>IFERROR(IF(Prêt_Non_Payé*Valeurs_Entrées,Numéro_Paiement,""), "")</f>
        <v/>
      </c>
      <c r="C156" s="651" t="str">
        <f>IFERROR(IF(Prêt_Non_Payé*Valeurs_Entrées,Date_Paiement,""), "")</f>
        <v/>
      </c>
      <c r="D156" s="652" t="str">
        <f>IFERROR(IF(Prêt_Non_Payé*Valeurs_Entrées,Solde_Départ,""), "")</f>
        <v/>
      </c>
      <c r="E156" s="652" t="str">
        <f>IFERROR(IF(Prêt_Non_Payé*Valeurs_Entrées,Mensualité,""), "")</f>
        <v/>
      </c>
      <c r="F156" s="652" t="str">
        <f>IFERROR(IF(Prêt_Non_Payé*Valeurs_Entrées,Capital,""), "")</f>
        <v/>
      </c>
      <c r="G156" s="652" t="str">
        <f>IFERROR(IF(Prêt_Non_Payé*Valeurs_Entrées,Intérêts,""), "")</f>
        <v/>
      </c>
      <c r="H156" s="653" t="str">
        <f>IFERROR(IF(Prêt_Non_Payé*Valeurs_Entrées,Solde_Final,""), "")</f>
        <v/>
      </c>
    </row>
    <row r="157" spans="1:10" x14ac:dyDescent="0.2">
      <c r="A157" s="654"/>
      <c r="B157" s="655" t="str">
        <f>IFERROR(IF(Prêt_Non_Payé*Valeurs_Entrées,Numéro_Paiement,""), "")</f>
        <v/>
      </c>
      <c r="C157" s="656" t="str">
        <f>IFERROR(IF(Prêt_Non_Payé*Valeurs_Entrées,Date_Paiement,""), "")</f>
        <v/>
      </c>
      <c r="D157" s="657" t="str">
        <f>IFERROR(IF(Prêt_Non_Payé*Valeurs_Entrées,Solde_Départ,""), "")</f>
        <v/>
      </c>
      <c r="E157" s="657" t="str">
        <f>IFERROR(IF(Prêt_Non_Payé*Valeurs_Entrées,Mensualité,""), "")</f>
        <v/>
      </c>
      <c r="F157" s="657" t="str">
        <f>IFERROR(IF(Prêt_Non_Payé*Valeurs_Entrées,Capital,""), "")</f>
        <v/>
      </c>
      <c r="G157" s="657" t="str">
        <f>IFERROR(IF(Prêt_Non_Payé*Valeurs_Entrées,Intérêts,""), "")</f>
        <v/>
      </c>
      <c r="H157" s="658" t="str">
        <f>IFERROR(IF(Prêt_Non_Payé*Valeurs_Entrées,Solde_Final,""), "")</f>
        <v/>
      </c>
    </row>
    <row r="158" spans="1:10" x14ac:dyDescent="0.2">
      <c r="A158" s="654"/>
      <c r="B158" s="655" t="str">
        <f>IFERROR(IF(Prêt_Non_Payé*Valeurs_Entrées,Numéro_Paiement,""), "")</f>
        <v/>
      </c>
      <c r="C158" s="656" t="str">
        <f>IFERROR(IF(Prêt_Non_Payé*Valeurs_Entrées,Date_Paiement,""), "")</f>
        <v/>
      </c>
      <c r="D158" s="657" t="str">
        <f>IFERROR(IF(Prêt_Non_Payé*Valeurs_Entrées,Solde_Départ,""), "")</f>
        <v/>
      </c>
      <c r="E158" s="657" t="str">
        <f>IFERROR(IF(Prêt_Non_Payé*Valeurs_Entrées,Mensualité,""), "")</f>
        <v/>
      </c>
      <c r="F158" s="657" t="str">
        <f>IFERROR(IF(Prêt_Non_Payé*Valeurs_Entrées,Capital,""), "")</f>
        <v/>
      </c>
      <c r="G158" s="657" t="str">
        <f>IFERROR(IF(Prêt_Non_Payé*Valeurs_Entrées,Intérêts,""), "")</f>
        <v/>
      </c>
      <c r="H158" s="658" t="str">
        <f>IFERROR(IF(Prêt_Non_Payé*Valeurs_Entrées,Solde_Final,""), "")</f>
        <v/>
      </c>
    </row>
    <row r="159" spans="1:10" x14ac:dyDescent="0.2">
      <c r="A159" s="654"/>
      <c r="B159" s="655" t="str">
        <f>IFERROR(IF(Prêt_Non_Payé*Valeurs_Entrées,Numéro_Paiement,""), "")</f>
        <v/>
      </c>
      <c r="C159" s="656" t="str">
        <f>IFERROR(IF(Prêt_Non_Payé*Valeurs_Entrées,Date_Paiement,""), "")</f>
        <v/>
      </c>
      <c r="D159" s="657" t="str">
        <f>IFERROR(IF(Prêt_Non_Payé*Valeurs_Entrées,Solde_Départ,""), "")</f>
        <v/>
      </c>
      <c r="E159" s="657" t="str">
        <f>IFERROR(IF(Prêt_Non_Payé*Valeurs_Entrées,Mensualité,""), "")</f>
        <v/>
      </c>
      <c r="F159" s="657" t="str">
        <f>IFERROR(IF(Prêt_Non_Payé*Valeurs_Entrées,Capital,""), "")</f>
        <v/>
      </c>
      <c r="G159" s="657" t="str">
        <f>IFERROR(IF(Prêt_Non_Payé*Valeurs_Entrées,Intérêts,""), "")</f>
        <v/>
      </c>
      <c r="H159" s="658" t="str">
        <f>IFERROR(IF(Prêt_Non_Payé*Valeurs_Entrées,Solde_Final,""), "")</f>
        <v/>
      </c>
    </row>
    <row r="160" spans="1:10" x14ac:dyDescent="0.2">
      <c r="A160" s="654"/>
      <c r="B160" s="655" t="str">
        <f>IFERROR(IF(Prêt_Non_Payé*Valeurs_Entrées,Numéro_Paiement,""), "")</f>
        <v/>
      </c>
      <c r="C160" s="656" t="str">
        <f>IFERROR(IF(Prêt_Non_Payé*Valeurs_Entrées,Date_Paiement,""), "")</f>
        <v/>
      </c>
      <c r="D160" s="657" t="str">
        <f>IFERROR(IF(Prêt_Non_Payé*Valeurs_Entrées,Solde_Départ,""), "")</f>
        <v/>
      </c>
      <c r="E160" s="657" t="str">
        <f>IFERROR(IF(Prêt_Non_Payé*Valeurs_Entrées,Mensualité,""), "")</f>
        <v/>
      </c>
      <c r="F160" s="657" t="str">
        <f>IFERROR(IF(Prêt_Non_Payé*Valeurs_Entrées,Capital,""), "")</f>
        <v/>
      </c>
      <c r="G160" s="657" t="str">
        <f>IFERROR(IF(Prêt_Non_Payé*Valeurs_Entrées,Intérêts,""), "")</f>
        <v/>
      </c>
      <c r="H160" s="658" t="str">
        <f>IFERROR(IF(Prêt_Non_Payé*Valeurs_Entrées,Solde_Final,""), "")</f>
        <v/>
      </c>
    </row>
    <row r="161" spans="1:10" x14ac:dyDescent="0.2">
      <c r="A161" s="654"/>
      <c r="B161" s="655" t="str">
        <f>IFERROR(IF(Prêt_Non_Payé*Valeurs_Entrées,Numéro_Paiement,""), "")</f>
        <v/>
      </c>
      <c r="C161" s="656" t="str">
        <f>IFERROR(IF(Prêt_Non_Payé*Valeurs_Entrées,Date_Paiement,""), "")</f>
        <v/>
      </c>
      <c r="D161" s="657" t="str">
        <f>IFERROR(IF(Prêt_Non_Payé*Valeurs_Entrées,Solde_Départ,""), "")</f>
        <v/>
      </c>
      <c r="E161" s="657" t="str">
        <f>IFERROR(IF(Prêt_Non_Payé*Valeurs_Entrées,Mensualité,""), "")</f>
        <v/>
      </c>
      <c r="F161" s="657" t="str">
        <f>IFERROR(IF(Prêt_Non_Payé*Valeurs_Entrées,Capital,""), "")</f>
        <v/>
      </c>
      <c r="G161" s="657" t="str">
        <f>IFERROR(IF(Prêt_Non_Payé*Valeurs_Entrées,Intérêts,""), "")</f>
        <v/>
      </c>
      <c r="H161" s="658" t="str">
        <f>IFERROR(IF(Prêt_Non_Payé*Valeurs_Entrées,Solde_Final,""), "")</f>
        <v/>
      </c>
    </row>
    <row r="162" spans="1:10" x14ac:dyDescent="0.2">
      <c r="A162" s="654"/>
      <c r="B162" s="655" t="str">
        <f>IFERROR(IF(Prêt_Non_Payé*Valeurs_Entrées,Numéro_Paiement,""), "")</f>
        <v/>
      </c>
      <c r="C162" s="656" t="str">
        <f>IFERROR(IF(Prêt_Non_Payé*Valeurs_Entrées,Date_Paiement,""), "")</f>
        <v/>
      </c>
      <c r="D162" s="657" t="str">
        <f>IFERROR(IF(Prêt_Non_Payé*Valeurs_Entrées,Solde_Départ,""), "")</f>
        <v/>
      </c>
      <c r="E162" s="657" t="str">
        <f>IFERROR(IF(Prêt_Non_Payé*Valeurs_Entrées,Mensualité,""), "")</f>
        <v/>
      </c>
      <c r="F162" s="657" t="str">
        <f>IFERROR(IF(Prêt_Non_Payé*Valeurs_Entrées,Capital,""), "")</f>
        <v/>
      </c>
      <c r="G162" s="657" t="str">
        <f>IFERROR(IF(Prêt_Non_Payé*Valeurs_Entrées,Intérêts,""), "")</f>
        <v/>
      </c>
      <c r="H162" s="658" t="str">
        <f>IFERROR(IF(Prêt_Non_Payé*Valeurs_Entrées,Solde_Final,""), "")</f>
        <v/>
      </c>
    </row>
    <row r="163" spans="1:10" x14ac:dyDescent="0.2">
      <c r="A163" s="654"/>
      <c r="B163" s="655" t="str">
        <f>IFERROR(IF(Prêt_Non_Payé*Valeurs_Entrées,Numéro_Paiement,""), "")</f>
        <v/>
      </c>
      <c r="C163" s="656" t="str">
        <f>IFERROR(IF(Prêt_Non_Payé*Valeurs_Entrées,Date_Paiement,""), "")</f>
        <v/>
      </c>
      <c r="D163" s="657" t="str">
        <f>IFERROR(IF(Prêt_Non_Payé*Valeurs_Entrées,Solde_Départ,""), "")</f>
        <v/>
      </c>
      <c r="E163" s="657" t="str">
        <f>IFERROR(IF(Prêt_Non_Payé*Valeurs_Entrées,Mensualité,""), "")</f>
        <v/>
      </c>
      <c r="F163" s="657" t="str">
        <f>IFERROR(IF(Prêt_Non_Payé*Valeurs_Entrées,Capital,""), "")</f>
        <v/>
      </c>
      <c r="G163" s="657" t="str">
        <f>IFERROR(IF(Prêt_Non_Payé*Valeurs_Entrées,Intérêts,""), "")</f>
        <v/>
      </c>
      <c r="H163" s="658" t="str">
        <f>IFERROR(IF(Prêt_Non_Payé*Valeurs_Entrées,Solde_Final,""), "")</f>
        <v/>
      </c>
    </row>
    <row r="164" spans="1:10" x14ac:dyDescent="0.2">
      <c r="A164" s="654"/>
      <c r="B164" s="655" t="str">
        <f>IFERROR(IF(Prêt_Non_Payé*Valeurs_Entrées,Numéro_Paiement,""), "")</f>
        <v/>
      </c>
      <c r="C164" s="656" t="str">
        <f>IFERROR(IF(Prêt_Non_Payé*Valeurs_Entrées,Date_Paiement,""), "")</f>
        <v/>
      </c>
      <c r="D164" s="657" t="str">
        <f>IFERROR(IF(Prêt_Non_Payé*Valeurs_Entrées,Solde_Départ,""), "")</f>
        <v/>
      </c>
      <c r="E164" s="657" t="str">
        <f>IFERROR(IF(Prêt_Non_Payé*Valeurs_Entrées,Mensualité,""), "")</f>
        <v/>
      </c>
      <c r="F164" s="657" t="str">
        <f>IFERROR(IF(Prêt_Non_Payé*Valeurs_Entrées,Capital,""), "")</f>
        <v/>
      </c>
      <c r="G164" s="657" t="str">
        <f>IFERROR(IF(Prêt_Non_Payé*Valeurs_Entrées,Intérêts,""), "")</f>
        <v/>
      </c>
      <c r="H164" s="658" t="str">
        <f>IFERROR(IF(Prêt_Non_Payé*Valeurs_Entrées,Solde_Final,""), "")</f>
        <v/>
      </c>
    </row>
    <row r="165" spans="1:10" x14ac:dyDescent="0.2">
      <c r="A165" s="654"/>
      <c r="B165" s="655" t="str">
        <f>IFERROR(IF(Prêt_Non_Payé*Valeurs_Entrées,Numéro_Paiement,""), "")</f>
        <v/>
      </c>
      <c r="C165" s="656" t="str">
        <f>IFERROR(IF(Prêt_Non_Payé*Valeurs_Entrées,Date_Paiement,""), "")</f>
        <v/>
      </c>
      <c r="D165" s="657" t="str">
        <f>IFERROR(IF(Prêt_Non_Payé*Valeurs_Entrées,Solde_Départ,""), "")</f>
        <v/>
      </c>
      <c r="E165" s="657" t="str">
        <f>IFERROR(IF(Prêt_Non_Payé*Valeurs_Entrées,Mensualité,""), "")</f>
        <v/>
      </c>
      <c r="F165" s="657" t="str">
        <f>IFERROR(IF(Prêt_Non_Payé*Valeurs_Entrées,Capital,""), "")</f>
        <v/>
      </c>
      <c r="G165" s="657" t="str">
        <f>IFERROR(IF(Prêt_Non_Payé*Valeurs_Entrées,Intérêts,""), "")</f>
        <v/>
      </c>
      <c r="H165" s="658" t="str">
        <f>IFERROR(IF(Prêt_Non_Payé*Valeurs_Entrées,Solde_Final,""), "")</f>
        <v/>
      </c>
    </row>
    <row r="166" spans="1:10" x14ac:dyDescent="0.2">
      <c r="A166" s="654"/>
      <c r="B166" s="655" t="str">
        <f>IFERROR(IF(Prêt_Non_Payé*Valeurs_Entrées,Numéro_Paiement,""), "")</f>
        <v/>
      </c>
      <c r="C166" s="656" t="str">
        <f>IFERROR(IF(Prêt_Non_Payé*Valeurs_Entrées,Date_Paiement,""), "")</f>
        <v/>
      </c>
      <c r="D166" s="657" t="str">
        <f>IFERROR(IF(Prêt_Non_Payé*Valeurs_Entrées,Solde_Départ,""), "")</f>
        <v/>
      </c>
      <c r="E166" s="657" t="str">
        <f>IFERROR(IF(Prêt_Non_Payé*Valeurs_Entrées,Mensualité,""), "")</f>
        <v/>
      </c>
      <c r="F166" s="657" t="str">
        <f>IFERROR(IF(Prêt_Non_Payé*Valeurs_Entrées,Capital,""), "")</f>
        <v/>
      </c>
      <c r="G166" s="657" t="str">
        <f>IFERROR(IF(Prêt_Non_Payé*Valeurs_Entrées,Intérêts,""), "")</f>
        <v/>
      </c>
      <c r="H166" s="658" t="str">
        <f>IFERROR(IF(Prêt_Non_Payé*Valeurs_Entrées,Solde_Final,""), "")</f>
        <v/>
      </c>
    </row>
    <row r="167" spans="1:10" ht="16" thickBot="1" x14ac:dyDescent="0.25">
      <c r="A167" s="659"/>
      <c r="B167" s="660" t="str">
        <f>IFERROR(IF(Prêt_Non_Payé*Valeurs_Entrées,Numéro_Paiement,""), "")</f>
        <v/>
      </c>
      <c r="C167" s="661" t="str">
        <f>IFERROR(IF(Prêt_Non_Payé*Valeurs_Entrées,Date_Paiement,""), "")</f>
        <v/>
      </c>
      <c r="D167" s="662" t="str">
        <f>IFERROR(IF(Prêt_Non_Payé*Valeurs_Entrées,Solde_Départ,""), "")</f>
        <v/>
      </c>
      <c r="E167" s="662" t="str">
        <f>IFERROR(IF(Prêt_Non_Payé*Valeurs_Entrées,Mensualité,""), "")</f>
        <v/>
      </c>
      <c r="F167" s="662" t="str">
        <f>IFERROR(IF(Prêt_Non_Payé*Valeurs_Entrées,Capital,""), "")</f>
        <v/>
      </c>
      <c r="G167" s="662" t="str">
        <f>IFERROR(IF(Prêt_Non_Payé*Valeurs_Entrées,Intérêts,""), "")</f>
        <v/>
      </c>
      <c r="H167" s="663" t="str">
        <f>IFERROR(IF(Prêt_Non_Payé*Valeurs_Entrées,Solde_Final,""), "")</f>
        <v/>
      </c>
      <c r="J167" s="664">
        <f t="shared" si="2"/>
        <v>0</v>
      </c>
    </row>
    <row r="168" spans="1:10" x14ac:dyDescent="0.2">
      <c r="A168" s="649"/>
      <c r="B168" s="650" t="str">
        <f>IFERROR(IF(Prêt_Non_Payé*Valeurs_Entrées,Numéro_Paiement,""), "")</f>
        <v/>
      </c>
      <c r="C168" s="651" t="str">
        <f>IFERROR(IF(Prêt_Non_Payé*Valeurs_Entrées,Date_Paiement,""), "")</f>
        <v/>
      </c>
      <c r="D168" s="652" t="str">
        <f>IFERROR(IF(Prêt_Non_Payé*Valeurs_Entrées,Solde_Départ,""), "")</f>
        <v/>
      </c>
      <c r="E168" s="652" t="str">
        <f>IFERROR(IF(Prêt_Non_Payé*Valeurs_Entrées,Mensualité,""), "")</f>
        <v/>
      </c>
      <c r="F168" s="652" t="str">
        <f>IFERROR(IF(Prêt_Non_Payé*Valeurs_Entrées,Capital,""), "")</f>
        <v/>
      </c>
      <c r="G168" s="652" t="str">
        <f>IFERROR(IF(Prêt_Non_Payé*Valeurs_Entrées,Intérêts,""), "")</f>
        <v/>
      </c>
      <c r="H168" s="653" t="str">
        <f>IFERROR(IF(Prêt_Non_Payé*Valeurs_Entrées,Solde_Final,""), "")</f>
        <v/>
      </c>
    </row>
    <row r="169" spans="1:10" x14ac:dyDescent="0.2">
      <c r="A169" s="654"/>
      <c r="B169" s="655" t="str">
        <f>IFERROR(IF(Prêt_Non_Payé*Valeurs_Entrées,Numéro_Paiement,""), "")</f>
        <v/>
      </c>
      <c r="C169" s="656" t="str">
        <f>IFERROR(IF(Prêt_Non_Payé*Valeurs_Entrées,Date_Paiement,""), "")</f>
        <v/>
      </c>
      <c r="D169" s="657" t="str">
        <f>IFERROR(IF(Prêt_Non_Payé*Valeurs_Entrées,Solde_Départ,""), "")</f>
        <v/>
      </c>
      <c r="E169" s="657" t="str">
        <f>IFERROR(IF(Prêt_Non_Payé*Valeurs_Entrées,Mensualité,""), "")</f>
        <v/>
      </c>
      <c r="F169" s="657" t="str">
        <f>IFERROR(IF(Prêt_Non_Payé*Valeurs_Entrées,Capital,""), "")</f>
        <v/>
      </c>
      <c r="G169" s="657" t="str">
        <f>IFERROR(IF(Prêt_Non_Payé*Valeurs_Entrées,Intérêts,""), "")</f>
        <v/>
      </c>
      <c r="H169" s="658" t="str">
        <f>IFERROR(IF(Prêt_Non_Payé*Valeurs_Entrées,Solde_Final,""), "")</f>
        <v/>
      </c>
    </row>
    <row r="170" spans="1:10" x14ac:dyDescent="0.2">
      <c r="A170" s="654"/>
      <c r="B170" s="655" t="str">
        <f>IFERROR(IF(Prêt_Non_Payé*Valeurs_Entrées,Numéro_Paiement,""), "")</f>
        <v/>
      </c>
      <c r="C170" s="656" t="str">
        <f>IFERROR(IF(Prêt_Non_Payé*Valeurs_Entrées,Date_Paiement,""), "")</f>
        <v/>
      </c>
      <c r="D170" s="657" t="str">
        <f>IFERROR(IF(Prêt_Non_Payé*Valeurs_Entrées,Solde_Départ,""), "")</f>
        <v/>
      </c>
      <c r="E170" s="657" t="str">
        <f>IFERROR(IF(Prêt_Non_Payé*Valeurs_Entrées,Mensualité,""), "")</f>
        <v/>
      </c>
      <c r="F170" s="657" t="str">
        <f>IFERROR(IF(Prêt_Non_Payé*Valeurs_Entrées,Capital,""), "")</f>
        <v/>
      </c>
      <c r="G170" s="657" t="str">
        <f>IFERROR(IF(Prêt_Non_Payé*Valeurs_Entrées,Intérêts,""), "")</f>
        <v/>
      </c>
      <c r="H170" s="658" t="str">
        <f>IFERROR(IF(Prêt_Non_Payé*Valeurs_Entrées,Solde_Final,""), "")</f>
        <v/>
      </c>
    </row>
    <row r="171" spans="1:10" x14ac:dyDescent="0.2">
      <c r="A171" s="654"/>
      <c r="B171" s="655" t="str">
        <f>IFERROR(IF(Prêt_Non_Payé*Valeurs_Entrées,Numéro_Paiement,""), "")</f>
        <v/>
      </c>
      <c r="C171" s="656" t="str">
        <f>IFERROR(IF(Prêt_Non_Payé*Valeurs_Entrées,Date_Paiement,""), "")</f>
        <v/>
      </c>
      <c r="D171" s="657" t="str">
        <f>IFERROR(IF(Prêt_Non_Payé*Valeurs_Entrées,Solde_Départ,""), "")</f>
        <v/>
      </c>
      <c r="E171" s="657" t="str">
        <f>IFERROR(IF(Prêt_Non_Payé*Valeurs_Entrées,Mensualité,""), "")</f>
        <v/>
      </c>
      <c r="F171" s="657" t="str">
        <f>IFERROR(IF(Prêt_Non_Payé*Valeurs_Entrées,Capital,""), "")</f>
        <v/>
      </c>
      <c r="G171" s="657" t="str">
        <f>IFERROR(IF(Prêt_Non_Payé*Valeurs_Entrées,Intérêts,""), "")</f>
        <v/>
      </c>
      <c r="H171" s="658" t="str">
        <f>IFERROR(IF(Prêt_Non_Payé*Valeurs_Entrées,Solde_Final,""), "")</f>
        <v/>
      </c>
    </row>
    <row r="172" spans="1:10" x14ac:dyDescent="0.2">
      <c r="A172" s="654"/>
      <c r="B172" s="655" t="str">
        <f>IFERROR(IF(Prêt_Non_Payé*Valeurs_Entrées,Numéro_Paiement,""), "")</f>
        <v/>
      </c>
      <c r="C172" s="656" t="str">
        <f>IFERROR(IF(Prêt_Non_Payé*Valeurs_Entrées,Date_Paiement,""), "")</f>
        <v/>
      </c>
      <c r="D172" s="657" t="str">
        <f>IFERROR(IF(Prêt_Non_Payé*Valeurs_Entrées,Solde_Départ,""), "")</f>
        <v/>
      </c>
      <c r="E172" s="657" t="str">
        <f>IFERROR(IF(Prêt_Non_Payé*Valeurs_Entrées,Mensualité,""), "")</f>
        <v/>
      </c>
      <c r="F172" s="657" t="str">
        <f>IFERROR(IF(Prêt_Non_Payé*Valeurs_Entrées,Capital,""), "")</f>
        <v/>
      </c>
      <c r="G172" s="657" t="str">
        <f>IFERROR(IF(Prêt_Non_Payé*Valeurs_Entrées,Intérêts,""), "")</f>
        <v/>
      </c>
      <c r="H172" s="658" t="str">
        <f>IFERROR(IF(Prêt_Non_Payé*Valeurs_Entrées,Solde_Final,""), "")</f>
        <v/>
      </c>
    </row>
    <row r="173" spans="1:10" x14ac:dyDescent="0.2">
      <c r="A173" s="654"/>
      <c r="B173" s="655" t="str">
        <f>IFERROR(IF(Prêt_Non_Payé*Valeurs_Entrées,Numéro_Paiement,""), "")</f>
        <v/>
      </c>
      <c r="C173" s="656" t="str">
        <f>IFERROR(IF(Prêt_Non_Payé*Valeurs_Entrées,Date_Paiement,""), "")</f>
        <v/>
      </c>
      <c r="D173" s="657" t="str">
        <f>IFERROR(IF(Prêt_Non_Payé*Valeurs_Entrées,Solde_Départ,""), "")</f>
        <v/>
      </c>
      <c r="E173" s="657" t="str">
        <f>IFERROR(IF(Prêt_Non_Payé*Valeurs_Entrées,Mensualité,""), "")</f>
        <v/>
      </c>
      <c r="F173" s="657" t="str">
        <f>IFERROR(IF(Prêt_Non_Payé*Valeurs_Entrées,Capital,""), "")</f>
        <v/>
      </c>
      <c r="G173" s="657" t="str">
        <f>IFERROR(IF(Prêt_Non_Payé*Valeurs_Entrées,Intérêts,""), "")</f>
        <v/>
      </c>
      <c r="H173" s="658" t="str">
        <f>IFERROR(IF(Prêt_Non_Payé*Valeurs_Entrées,Solde_Final,""), "")</f>
        <v/>
      </c>
    </row>
    <row r="174" spans="1:10" x14ac:dyDescent="0.2">
      <c r="A174" s="654"/>
      <c r="B174" s="655" t="str">
        <f>IFERROR(IF(Prêt_Non_Payé*Valeurs_Entrées,Numéro_Paiement,""), "")</f>
        <v/>
      </c>
      <c r="C174" s="656" t="str">
        <f>IFERROR(IF(Prêt_Non_Payé*Valeurs_Entrées,Date_Paiement,""), "")</f>
        <v/>
      </c>
      <c r="D174" s="657" t="str">
        <f>IFERROR(IF(Prêt_Non_Payé*Valeurs_Entrées,Solde_Départ,""), "")</f>
        <v/>
      </c>
      <c r="E174" s="657" t="str">
        <f>IFERROR(IF(Prêt_Non_Payé*Valeurs_Entrées,Mensualité,""), "")</f>
        <v/>
      </c>
      <c r="F174" s="657" t="str">
        <f>IFERROR(IF(Prêt_Non_Payé*Valeurs_Entrées,Capital,""), "")</f>
        <v/>
      </c>
      <c r="G174" s="657" t="str">
        <f>IFERROR(IF(Prêt_Non_Payé*Valeurs_Entrées,Intérêts,""), "")</f>
        <v/>
      </c>
      <c r="H174" s="658" t="str">
        <f>IFERROR(IF(Prêt_Non_Payé*Valeurs_Entrées,Solde_Final,""), "")</f>
        <v/>
      </c>
    </row>
    <row r="175" spans="1:10" x14ac:dyDescent="0.2">
      <c r="A175" s="654"/>
      <c r="B175" s="655" t="str">
        <f>IFERROR(IF(Prêt_Non_Payé*Valeurs_Entrées,Numéro_Paiement,""), "")</f>
        <v/>
      </c>
      <c r="C175" s="656" t="str">
        <f>IFERROR(IF(Prêt_Non_Payé*Valeurs_Entrées,Date_Paiement,""), "")</f>
        <v/>
      </c>
      <c r="D175" s="657" t="str">
        <f>IFERROR(IF(Prêt_Non_Payé*Valeurs_Entrées,Solde_Départ,""), "")</f>
        <v/>
      </c>
      <c r="E175" s="657" t="str">
        <f>IFERROR(IF(Prêt_Non_Payé*Valeurs_Entrées,Mensualité,""), "")</f>
        <v/>
      </c>
      <c r="F175" s="657" t="str">
        <f>IFERROR(IF(Prêt_Non_Payé*Valeurs_Entrées,Capital,""), "")</f>
        <v/>
      </c>
      <c r="G175" s="657" t="str">
        <f>IFERROR(IF(Prêt_Non_Payé*Valeurs_Entrées,Intérêts,""), "")</f>
        <v/>
      </c>
      <c r="H175" s="658" t="str">
        <f>IFERROR(IF(Prêt_Non_Payé*Valeurs_Entrées,Solde_Final,""), "")</f>
        <v/>
      </c>
    </row>
    <row r="176" spans="1:10" x14ac:dyDescent="0.2">
      <c r="A176" s="654"/>
      <c r="B176" s="655" t="str">
        <f>IFERROR(IF(Prêt_Non_Payé*Valeurs_Entrées,Numéro_Paiement,""), "")</f>
        <v/>
      </c>
      <c r="C176" s="656" t="str">
        <f>IFERROR(IF(Prêt_Non_Payé*Valeurs_Entrées,Date_Paiement,""), "")</f>
        <v/>
      </c>
      <c r="D176" s="657" t="str">
        <f>IFERROR(IF(Prêt_Non_Payé*Valeurs_Entrées,Solde_Départ,""), "")</f>
        <v/>
      </c>
      <c r="E176" s="657" t="str">
        <f>IFERROR(IF(Prêt_Non_Payé*Valeurs_Entrées,Mensualité,""), "")</f>
        <v/>
      </c>
      <c r="F176" s="657" t="str">
        <f>IFERROR(IF(Prêt_Non_Payé*Valeurs_Entrées,Capital,""), "")</f>
        <v/>
      </c>
      <c r="G176" s="657" t="str">
        <f>IFERROR(IF(Prêt_Non_Payé*Valeurs_Entrées,Intérêts,""), "")</f>
        <v/>
      </c>
      <c r="H176" s="658" t="str">
        <f>IFERROR(IF(Prêt_Non_Payé*Valeurs_Entrées,Solde_Final,""), "")</f>
        <v/>
      </c>
    </row>
    <row r="177" spans="1:10" x14ac:dyDescent="0.2">
      <c r="A177" s="654"/>
      <c r="B177" s="655" t="str">
        <f>IFERROR(IF(Prêt_Non_Payé*Valeurs_Entrées,Numéro_Paiement,""), "")</f>
        <v/>
      </c>
      <c r="C177" s="656" t="str">
        <f>IFERROR(IF(Prêt_Non_Payé*Valeurs_Entrées,Date_Paiement,""), "")</f>
        <v/>
      </c>
      <c r="D177" s="657" t="str">
        <f>IFERROR(IF(Prêt_Non_Payé*Valeurs_Entrées,Solde_Départ,""), "")</f>
        <v/>
      </c>
      <c r="E177" s="657" t="str">
        <f>IFERROR(IF(Prêt_Non_Payé*Valeurs_Entrées,Mensualité,""), "")</f>
        <v/>
      </c>
      <c r="F177" s="657" t="str">
        <f>IFERROR(IF(Prêt_Non_Payé*Valeurs_Entrées,Capital,""), "")</f>
        <v/>
      </c>
      <c r="G177" s="657" t="str">
        <f>IFERROR(IF(Prêt_Non_Payé*Valeurs_Entrées,Intérêts,""), "")</f>
        <v/>
      </c>
      <c r="H177" s="658" t="str">
        <f>IFERROR(IF(Prêt_Non_Payé*Valeurs_Entrées,Solde_Final,""), "")</f>
        <v/>
      </c>
    </row>
    <row r="178" spans="1:10" x14ac:dyDescent="0.2">
      <c r="A178" s="654"/>
      <c r="B178" s="655" t="str">
        <f>IFERROR(IF(Prêt_Non_Payé*Valeurs_Entrées,Numéro_Paiement,""), "")</f>
        <v/>
      </c>
      <c r="C178" s="656" t="str">
        <f>IFERROR(IF(Prêt_Non_Payé*Valeurs_Entrées,Date_Paiement,""), "")</f>
        <v/>
      </c>
      <c r="D178" s="657" t="str">
        <f>IFERROR(IF(Prêt_Non_Payé*Valeurs_Entrées,Solde_Départ,""), "")</f>
        <v/>
      </c>
      <c r="E178" s="657" t="str">
        <f>IFERROR(IF(Prêt_Non_Payé*Valeurs_Entrées,Mensualité,""), "")</f>
        <v/>
      </c>
      <c r="F178" s="657" t="str">
        <f>IFERROR(IF(Prêt_Non_Payé*Valeurs_Entrées,Capital,""), "")</f>
        <v/>
      </c>
      <c r="G178" s="657" t="str">
        <f>IFERROR(IF(Prêt_Non_Payé*Valeurs_Entrées,Intérêts,""), "")</f>
        <v/>
      </c>
      <c r="H178" s="658" t="str">
        <f>IFERROR(IF(Prêt_Non_Payé*Valeurs_Entrées,Solde_Final,""), "")</f>
        <v/>
      </c>
    </row>
    <row r="179" spans="1:10" ht="16" thickBot="1" x14ac:dyDescent="0.25">
      <c r="A179" s="659"/>
      <c r="B179" s="660" t="str">
        <f>IFERROR(IF(Prêt_Non_Payé*Valeurs_Entrées,Numéro_Paiement,""), "")</f>
        <v/>
      </c>
      <c r="C179" s="661" t="str">
        <f>IFERROR(IF(Prêt_Non_Payé*Valeurs_Entrées,Date_Paiement,""), "")</f>
        <v/>
      </c>
      <c r="D179" s="662" t="str">
        <f>IFERROR(IF(Prêt_Non_Payé*Valeurs_Entrées,Solde_Départ,""), "")</f>
        <v/>
      </c>
      <c r="E179" s="662" t="str">
        <f>IFERROR(IF(Prêt_Non_Payé*Valeurs_Entrées,Mensualité,""), "")</f>
        <v/>
      </c>
      <c r="F179" s="662" t="str">
        <f>IFERROR(IF(Prêt_Non_Payé*Valeurs_Entrées,Capital,""), "")</f>
        <v/>
      </c>
      <c r="G179" s="662" t="str">
        <f>IFERROR(IF(Prêt_Non_Payé*Valeurs_Entrées,Intérêts,""), "")</f>
        <v/>
      </c>
      <c r="H179" s="663" t="str">
        <f>IFERROR(IF(Prêt_Non_Payé*Valeurs_Entrées,Solde_Final,""), "")</f>
        <v/>
      </c>
      <c r="J179" s="664">
        <f t="shared" si="2"/>
        <v>0</v>
      </c>
    </row>
    <row r="180" spans="1:10" x14ac:dyDescent="0.2">
      <c r="A180" s="649"/>
      <c r="B180" s="650" t="str">
        <f>IFERROR(IF(Prêt_Non_Payé*Valeurs_Entrées,Numéro_Paiement,""), "")</f>
        <v/>
      </c>
      <c r="C180" s="651" t="str">
        <f>IFERROR(IF(Prêt_Non_Payé*Valeurs_Entrées,Date_Paiement,""), "")</f>
        <v/>
      </c>
      <c r="D180" s="652" t="str">
        <f>IFERROR(IF(Prêt_Non_Payé*Valeurs_Entrées,Solde_Départ,""), "")</f>
        <v/>
      </c>
      <c r="E180" s="652" t="str">
        <f>IFERROR(IF(Prêt_Non_Payé*Valeurs_Entrées,Mensualité,""), "")</f>
        <v/>
      </c>
      <c r="F180" s="652" t="str">
        <f>IFERROR(IF(Prêt_Non_Payé*Valeurs_Entrées,Capital,""), "")</f>
        <v/>
      </c>
      <c r="G180" s="652" t="str">
        <f>IFERROR(IF(Prêt_Non_Payé*Valeurs_Entrées,Intérêts,""), "")</f>
        <v/>
      </c>
      <c r="H180" s="653" t="str">
        <f>IFERROR(IF(Prêt_Non_Payé*Valeurs_Entrées,Solde_Final,""), "")</f>
        <v/>
      </c>
    </row>
    <row r="181" spans="1:10" x14ac:dyDescent="0.2">
      <c r="A181" s="654"/>
      <c r="B181" s="655" t="str">
        <f>IFERROR(IF(Prêt_Non_Payé*Valeurs_Entrées,Numéro_Paiement,""), "")</f>
        <v/>
      </c>
      <c r="C181" s="656" t="str">
        <f>IFERROR(IF(Prêt_Non_Payé*Valeurs_Entrées,Date_Paiement,""), "")</f>
        <v/>
      </c>
      <c r="D181" s="657" t="str">
        <f>IFERROR(IF(Prêt_Non_Payé*Valeurs_Entrées,Solde_Départ,""), "")</f>
        <v/>
      </c>
      <c r="E181" s="657" t="str">
        <f>IFERROR(IF(Prêt_Non_Payé*Valeurs_Entrées,Mensualité,""), "")</f>
        <v/>
      </c>
      <c r="F181" s="657" t="str">
        <f>IFERROR(IF(Prêt_Non_Payé*Valeurs_Entrées,Capital,""), "")</f>
        <v/>
      </c>
      <c r="G181" s="657" t="str">
        <f>IFERROR(IF(Prêt_Non_Payé*Valeurs_Entrées,Intérêts,""), "")</f>
        <v/>
      </c>
      <c r="H181" s="658" t="str">
        <f>IFERROR(IF(Prêt_Non_Payé*Valeurs_Entrées,Solde_Final,""), "")</f>
        <v/>
      </c>
    </row>
    <row r="182" spans="1:10" x14ac:dyDescent="0.2">
      <c r="A182" s="654"/>
      <c r="B182" s="655" t="str">
        <f>IFERROR(IF(Prêt_Non_Payé*Valeurs_Entrées,Numéro_Paiement,""), "")</f>
        <v/>
      </c>
      <c r="C182" s="656" t="str">
        <f>IFERROR(IF(Prêt_Non_Payé*Valeurs_Entrées,Date_Paiement,""), "")</f>
        <v/>
      </c>
      <c r="D182" s="657" t="str">
        <f>IFERROR(IF(Prêt_Non_Payé*Valeurs_Entrées,Solde_Départ,""), "")</f>
        <v/>
      </c>
      <c r="E182" s="657" t="str">
        <f>IFERROR(IF(Prêt_Non_Payé*Valeurs_Entrées,Mensualité,""), "")</f>
        <v/>
      </c>
      <c r="F182" s="657" t="str">
        <f>IFERROR(IF(Prêt_Non_Payé*Valeurs_Entrées,Capital,""), "")</f>
        <v/>
      </c>
      <c r="G182" s="657" t="str">
        <f>IFERROR(IF(Prêt_Non_Payé*Valeurs_Entrées,Intérêts,""), "")</f>
        <v/>
      </c>
      <c r="H182" s="658" t="str">
        <f>IFERROR(IF(Prêt_Non_Payé*Valeurs_Entrées,Solde_Final,""), "")</f>
        <v/>
      </c>
    </row>
    <row r="183" spans="1:10" x14ac:dyDescent="0.2">
      <c r="A183" s="654"/>
      <c r="B183" s="655" t="str">
        <f>IFERROR(IF(Prêt_Non_Payé*Valeurs_Entrées,Numéro_Paiement,""), "")</f>
        <v/>
      </c>
      <c r="C183" s="656" t="str">
        <f>IFERROR(IF(Prêt_Non_Payé*Valeurs_Entrées,Date_Paiement,""), "")</f>
        <v/>
      </c>
      <c r="D183" s="657" t="str">
        <f>IFERROR(IF(Prêt_Non_Payé*Valeurs_Entrées,Solde_Départ,""), "")</f>
        <v/>
      </c>
      <c r="E183" s="657" t="str">
        <f>IFERROR(IF(Prêt_Non_Payé*Valeurs_Entrées,Mensualité,""), "")</f>
        <v/>
      </c>
      <c r="F183" s="657" t="str">
        <f>IFERROR(IF(Prêt_Non_Payé*Valeurs_Entrées,Capital,""), "")</f>
        <v/>
      </c>
      <c r="G183" s="657" t="str">
        <f>IFERROR(IF(Prêt_Non_Payé*Valeurs_Entrées,Intérêts,""), "")</f>
        <v/>
      </c>
      <c r="H183" s="658" t="str">
        <f>IFERROR(IF(Prêt_Non_Payé*Valeurs_Entrées,Solde_Final,""), "")</f>
        <v/>
      </c>
    </row>
    <row r="184" spans="1:10" x14ac:dyDescent="0.2">
      <c r="A184" s="654"/>
      <c r="B184" s="655" t="str">
        <f>IFERROR(IF(Prêt_Non_Payé*Valeurs_Entrées,Numéro_Paiement,""), "")</f>
        <v/>
      </c>
      <c r="C184" s="656" t="str">
        <f>IFERROR(IF(Prêt_Non_Payé*Valeurs_Entrées,Date_Paiement,""), "")</f>
        <v/>
      </c>
      <c r="D184" s="657" t="str">
        <f>IFERROR(IF(Prêt_Non_Payé*Valeurs_Entrées,Solde_Départ,""), "")</f>
        <v/>
      </c>
      <c r="E184" s="657" t="str">
        <f>IFERROR(IF(Prêt_Non_Payé*Valeurs_Entrées,Mensualité,""), "")</f>
        <v/>
      </c>
      <c r="F184" s="657" t="str">
        <f>IFERROR(IF(Prêt_Non_Payé*Valeurs_Entrées,Capital,""), "")</f>
        <v/>
      </c>
      <c r="G184" s="657" t="str">
        <f>IFERROR(IF(Prêt_Non_Payé*Valeurs_Entrées,Intérêts,""), "")</f>
        <v/>
      </c>
      <c r="H184" s="658" t="str">
        <f>IFERROR(IF(Prêt_Non_Payé*Valeurs_Entrées,Solde_Final,""), "")</f>
        <v/>
      </c>
    </row>
    <row r="185" spans="1:10" x14ac:dyDescent="0.2">
      <c r="A185" s="654"/>
      <c r="B185" s="655" t="str">
        <f>IFERROR(IF(Prêt_Non_Payé*Valeurs_Entrées,Numéro_Paiement,""), "")</f>
        <v/>
      </c>
      <c r="C185" s="656" t="str">
        <f>IFERROR(IF(Prêt_Non_Payé*Valeurs_Entrées,Date_Paiement,""), "")</f>
        <v/>
      </c>
      <c r="D185" s="657" t="str">
        <f>IFERROR(IF(Prêt_Non_Payé*Valeurs_Entrées,Solde_Départ,""), "")</f>
        <v/>
      </c>
      <c r="E185" s="657" t="str">
        <f>IFERROR(IF(Prêt_Non_Payé*Valeurs_Entrées,Mensualité,""), "")</f>
        <v/>
      </c>
      <c r="F185" s="657" t="str">
        <f>IFERROR(IF(Prêt_Non_Payé*Valeurs_Entrées,Capital,""), "")</f>
        <v/>
      </c>
      <c r="G185" s="657" t="str">
        <f>IFERROR(IF(Prêt_Non_Payé*Valeurs_Entrées,Intérêts,""), "")</f>
        <v/>
      </c>
      <c r="H185" s="658" t="str">
        <f>IFERROR(IF(Prêt_Non_Payé*Valeurs_Entrées,Solde_Final,""), "")</f>
        <v/>
      </c>
    </row>
    <row r="186" spans="1:10" x14ac:dyDescent="0.2">
      <c r="A186" s="654"/>
      <c r="B186" s="655" t="str">
        <f>IFERROR(IF(Prêt_Non_Payé*Valeurs_Entrées,Numéro_Paiement,""), "")</f>
        <v/>
      </c>
      <c r="C186" s="656" t="str">
        <f>IFERROR(IF(Prêt_Non_Payé*Valeurs_Entrées,Date_Paiement,""), "")</f>
        <v/>
      </c>
      <c r="D186" s="657" t="str">
        <f>IFERROR(IF(Prêt_Non_Payé*Valeurs_Entrées,Solde_Départ,""), "")</f>
        <v/>
      </c>
      <c r="E186" s="657" t="str">
        <f>IFERROR(IF(Prêt_Non_Payé*Valeurs_Entrées,Mensualité,""), "")</f>
        <v/>
      </c>
      <c r="F186" s="657" t="str">
        <f>IFERROR(IF(Prêt_Non_Payé*Valeurs_Entrées,Capital,""), "")</f>
        <v/>
      </c>
      <c r="G186" s="657" t="str">
        <f>IFERROR(IF(Prêt_Non_Payé*Valeurs_Entrées,Intérêts,""), "")</f>
        <v/>
      </c>
      <c r="H186" s="658" t="str">
        <f>IFERROR(IF(Prêt_Non_Payé*Valeurs_Entrées,Solde_Final,""), "")</f>
        <v/>
      </c>
    </row>
    <row r="187" spans="1:10" x14ac:dyDescent="0.2">
      <c r="A187" s="654"/>
      <c r="B187" s="655" t="str">
        <f>IFERROR(IF(Prêt_Non_Payé*Valeurs_Entrées,Numéro_Paiement,""), "")</f>
        <v/>
      </c>
      <c r="C187" s="656" t="str">
        <f>IFERROR(IF(Prêt_Non_Payé*Valeurs_Entrées,Date_Paiement,""), "")</f>
        <v/>
      </c>
      <c r="D187" s="657" t="str">
        <f>IFERROR(IF(Prêt_Non_Payé*Valeurs_Entrées,Solde_Départ,""), "")</f>
        <v/>
      </c>
      <c r="E187" s="657" t="str">
        <f>IFERROR(IF(Prêt_Non_Payé*Valeurs_Entrées,Mensualité,""), "")</f>
        <v/>
      </c>
      <c r="F187" s="657" t="str">
        <f>IFERROR(IF(Prêt_Non_Payé*Valeurs_Entrées,Capital,""), "")</f>
        <v/>
      </c>
      <c r="G187" s="657" t="str">
        <f>IFERROR(IF(Prêt_Non_Payé*Valeurs_Entrées,Intérêts,""), "")</f>
        <v/>
      </c>
      <c r="H187" s="658" t="str">
        <f>IFERROR(IF(Prêt_Non_Payé*Valeurs_Entrées,Solde_Final,""), "")</f>
        <v/>
      </c>
    </row>
    <row r="188" spans="1:10" x14ac:dyDescent="0.2">
      <c r="A188" s="654"/>
      <c r="B188" s="655" t="str">
        <f>IFERROR(IF(Prêt_Non_Payé*Valeurs_Entrées,Numéro_Paiement,""), "")</f>
        <v/>
      </c>
      <c r="C188" s="656" t="str">
        <f>IFERROR(IF(Prêt_Non_Payé*Valeurs_Entrées,Date_Paiement,""), "")</f>
        <v/>
      </c>
      <c r="D188" s="657" t="str">
        <f>IFERROR(IF(Prêt_Non_Payé*Valeurs_Entrées,Solde_Départ,""), "")</f>
        <v/>
      </c>
      <c r="E188" s="657" t="str">
        <f>IFERROR(IF(Prêt_Non_Payé*Valeurs_Entrées,Mensualité,""), "")</f>
        <v/>
      </c>
      <c r="F188" s="657" t="str">
        <f>IFERROR(IF(Prêt_Non_Payé*Valeurs_Entrées,Capital,""), "")</f>
        <v/>
      </c>
      <c r="G188" s="657" t="str">
        <f>IFERROR(IF(Prêt_Non_Payé*Valeurs_Entrées,Intérêts,""), "")</f>
        <v/>
      </c>
      <c r="H188" s="658" t="str">
        <f>IFERROR(IF(Prêt_Non_Payé*Valeurs_Entrées,Solde_Final,""), "")</f>
        <v/>
      </c>
    </row>
    <row r="189" spans="1:10" x14ac:dyDescent="0.2">
      <c r="A189" s="654"/>
      <c r="B189" s="655" t="str">
        <f>IFERROR(IF(Prêt_Non_Payé*Valeurs_Entrées,Numéro_Paiement,""), "")</f>
        <v/>
      </c>
      <c r="C189" s="656" t="str">
        <f>IFERROR(IF(Prêt_Non_Payé*Valeurs_Entrées,Date_Paiement,""), "")</f>
        <v/>
      </c>
      <c r="D189" s="657" t="str">
        <f>IFERROR(IF(Prêt_Non_Payé*Valeurs_Entrées,Solde_Départ,""), "")</f>
        <v/>
      </c>
      <c r="E189" s="657" t="str">
        <f>IFERROR(IF(Prêt_Non_Payé*Valeurs_Entrées,Mensualité,""), "")</f>
        <v/>
      </c>
      <c r="F189" s="657" t="str">
        <f>IFERROR(IF(Prêt_Non_Payé*Valeurs_Entrées,Capital,""), "")</f>
        <v/>
      </c>
      <c r="G189" s="657" t="str">
        <f>IFERROR(IF(Prêt_Non_Payé*Valeurs_Entrées,Intérêts,""), "")</f>
        <v/>
      </c>
      <c r="H189" s="658" t="str">
        <f>IFERROR(IF(Prêt_Non_Payé*Valeurs_Entrées,Solde_Final,""), "")</f>
        <v/>
      </c>
    </row>
    <row r="190" spans="1:10" x14ac:dyDescent="0.2">
      <c r="A190" s="654"/>
      <c r="B190" s="655" t="str">
        <f>IFERROR(IF(Prêt_Non_Payé*Valeurs_Entrées,Numéro_Paiement,""), "")</f>
        <v/>
      </c>
      <c r="C190" s="656" t="str">
        <f>IFERROR(IF(Prêt_Non_Payé*Valeurs_Entrées,Date_Paiement,""), "")</f>
        <v/>
      </c>
      <c r="D190" s="657" t="str">
        <f>IFERROR(IF(Prêt_Non_Payé*Valeurs_Entrées,Solde_Départ,""), "")</f>
        <v/>
      </c>
      <c r="E190" s="657" t="str">
        <f>IFERROR(IF(Prêt_Non_Payé*Valeurs_Entrées,Mensualité,""), "")</f>
        <v/>
      </c>
      <c r="F190" s="657" t="str">
        <f>IFERROR(IF(Prêt_Non_Payé*Valeurs_Entrées,Capital,""), "")</f>
        <v/>
      </c>
      <c r="G190" s="657" t="str">
        <f>IFERROR(IF(Prêt_Non_Payé*Valeurs_Entrées,Intérêts,""), "")</f>
        <v/>
      </c>
      <c r="H190" s="658" t="str">
        <f>IFERROR(IF(Prêt_Non_Payé*Valeurs_Entrées,Solde_Final,""), "")</f>
        <v/>
      </c>
    </row>
    <row r="191" spans="1:10" ht="16" thickBot="1" x14ac:dyDescent="0.25">
      <c r="A191" s="659"/>
      <c r="B191" s="660" t="str">
        <f>IFERROR(IF(Prêt_Non_Payé*Valeurs_Entrées,Numéro_Paiement,""), "")</f>
        <v/>
      </c>
      <c r="C191" s="661" t="str">
        <f>IFERROR(IF(Prêt_Non_Payé*Valeurs_Entrées,Date_Paiement,""), "")</f>
        <v/>
      </c>
      <c r="D191" s="662" t="str">
        <f>IFERROR(IF(Prêt_Non_Payé*Valeurs_Entrées,Solde_Départ,""), "")</f>
        <v/>
      </c>
      <c r="E191" s="662" t="str">
        <f>IFERROR(IF(Prêt_Non_Payé*Valeurs_Entrées,Mensualité,""), "")</f>
        <v/>
      </c>
      <c r="F191" s="662" t="str">
        <f>IFERROR(IF(Prêt_Non_Payé*Valeurs_Entrées,Capital,""), "")</f>
        <v/>
      </c>
      <c r="G191" s="662" t="str">
        <f>IFERROR(IF(Prêt_Non_Payé*Valeurs_Entrées,Intérêts,""), "")</f>
        <v/>
      </c>
      <c r="H191" s="663" t="str">
        <f>IFERROR(IF(Prêt_Non_Payé*Valeurs_Entrées,Solde_Final,""), "")</f>
        <v/>
      </c>
      <c r="J191" s="664">
        <f t="shared" si="2"/>
        <v>0</v>
      </c>
    </row>
    <row r="192" spans="1:10" x14ac:dyDescent="0.2">
      <c r="B192" s="665" t="str">
        <f>IFERROR(IF(Prêt_Non_Payé*Valeurs_Entrées,Numéro_Paiement,""), "")</f>
        <v/>
      </c>
      <c r="C192" s="666" t="str">
        <f>IFERROR(IF(Prêt_Non_Payé*Valeurs_Entrées,Date_Paiement,""), "")</f>
        <v/>
      </c>
      <c r="D192" s="667" t="str">
        <f>IFERROR(IF(Prêt_Non_Payé*Valeurs_Entrées,Solde_Départ,""), "")</f>
        <v/>
      </c>
      <c r="E192" s="667" t="str">
        <f>IFERROR(IF(Prêt_Non_Payé*Valeurs_Entrées,Mensualité,""), "")</f>
        <v/>
      </c>
      <c r="F192" s="667" t="str">
        <f>IFERROR(IF(Prêt_Non_Payé*Valeurs_Entrées,Capital,""), "")</f>
        <v/>
      </c>
      <c r="G192" s="667" t="str">
        <f>IFERROR(IF(Prêt_Non_Payé*Valeurs_Entrées,Intérêts,""), "")</f>
        <v/>
      </c>
      <c r="H192" s="667" t="str">
        <f>IFERROR(IF(Prêt_Non_Payé*Valeurs_Entrées,Solde_Final,""), "")</f>
        <v/>
      </c>
    </row>
    <row r="193" spans="2:8" x14ac:dyDescent="0.2">
      <c r="B193" s="665" t="str">
        <f>IFERROR(IF(Prêt_Non_Payé*Valeurs_Entrées,Numéro_Paiement,""), "")</f>
        <v/>
      </c>
      <c r="C193" s="666" t="str">
        <f>IFERROR(IF(Prêt_Non_Payé*Valeurs_Entrées,Date_Paiement,""), "")</f>
        <v/>
      </c>
      <c r="D193" s="667" t="str">
        <f>IFERROR(IF(Prêt_Non_Payé*Valeurs_Entrées,Solde_Départ,""), "")</f>
        <v/>
      </c>
      <c r="E193" s="667" t="str">
        <f>IFERROR(IF(Prêt_Non_Payé*Valeurs_Entrées,Mensualité,""), "")</f>
        <v/>
      </c>
      <c r="F193" s="667" t="str">
        <f>IFERROR(IF(Prêt_Non_Payé*Valeurs_Entrées,Capital,""), "")</f>
        <v/>
      </c>
      <c r="G193" s="667" t="str">
        <f>IFERROR(IF(Prêt_Non_Payé*Valeurs_Entrées,Intérêts,""), "")</f>
        <v/>
      </c>
      <c r="H193" s="667" t="str">
        <f>IFERROR(IF(Prêt_Non_Payé*Valeurs_Entrées,Solde_Final,""), "")</f>
        <v/>
      </c>
    </row>
    <row r="194" spans="2:8" x14ac:dyDescent="0.2">
      <c r="B194" s="665" t="str">
        <f>IFERROR(IF(Prêt_Non_Payé*Valeurs_Entrées,Numéro_Paiement,""), "")</f>
        <v/>
      </c>
      <c r="C194" s="666" t="str">
        <f>IFERROR(IF(Prêt_Non_Payé*Valeurs_Entrées,Date_Paiement,""), "")</f>
        <v/>
      </c>
      <c r="D194" s="667" t="str">
        <f>IFERROR(IF(Prêt_Non_Payé*Valeurs_Entrées,Solde_Départ,""), "")</f>
        <v/>
      </c>
      <c r="E194" s="667" t="str">
        <f>IFERROR(IF(Prêt_Non_Payé*Valeurs_Entrées,Mensualité,""), "")</f>
        <v/>
      </c>
      <c r="F194" s="667" t="str">
        <f>IFERROR(IF(Prêt_Non_Payé*Valeurs_Entrées,Capital,""), "")</f>
        <v/>
      </c>
      <c r="G194" s="667" t="str">
        <f>IFERROR(IF(Prêt_Non_Payé*Valeurs_Entrées,Intérêts,""), "")</f>
        <v/>
      </c>
      <c r="H194" s="667" t="str">
        <f>IFERROR(IF(Prêt_Non_Payé*Valeurs_Entrées,Solde_Final,""), "")</f>
        <v/>
      </c>
    </row>
    <row r="195" spans="2:8" x14ac:dyDescent="0.2">
      <c r="B195" s="665" t="str">
        <f>IFERROR(IF(Prêt_Non_Payé*Valeurs_Entrées,Numéro_Paiement,""), "")</f>
        <v/>
      </c>
      <c r="C195" s="666" t="str">
        <f>IFERROR(IF(Prêt_Non_Payé*Valeurs_Entrées,Date_Paiement,""), "")</f>
        <v/>
      </c>
      <c r="D195" s="667" t="str">
        <f>IFERROR(IF(Prêt_Non_Payé*Valeurs_Entrées,Solde_Départ,""), "")</f>
        <v/>
      </c>
      <c r="E195" s="667" t="str">
        <f>IFERROR(IF(Prêt_Non_Payé*Valeurs_Entrées,Mensualité,""), "")</f>
        <v/>
      </c>
      <c r="F195" s="667" t="str">
        <f>IFERROR(IF(Prêt_Non_Payé*Valeurs_Entrées,Capital,""), "")</f>
        <v/>
      </c>
      <c r="G195" s="667" t="str">
        <f>IFERROR(IF(Prêt_Non_Payé*Valeurs_Entrées,Intérêts,""), "")</f>
        <v/>
      </c>
      <c r="H195" s="667" t="str">
        <f>IFERROR(IF(Prêt_Non_Payé*Valeurs_Entrées,Solde_Final,""), "")</f>
        <v/>
      </c>
    </row>
    <row r="196" spans="2:8" x14ac:dyDescent="0.2">
      <c r="B196" s="665" t="str">
        <f>IFERROR(IF(Prêt_Non_Payé*Valeurs_Entrées,Numéro_Paiement,""), "")</f>
        <v/>
      </c>
      <c r="C196" s="666" t="str">
        <f>IFERROR(IF(Prêt_Non_Payé*Valeurs_Entrées,Date_Paiement,""), "")</f>
        <v/>
      </c>
      <c r="D196" s="667" t="str">
        <f>IFERROR(IF(Prêt_Non_Payé*Valeurs_Entrées,Solde_Départ,""), "")</f>
        <v/>
      </c>
      <c r="E196" s="667" t="str">
        <f>IFERROR(IF(Prêt_Non_Payé*Valeurs_Entrées,Mensualité,""), "")</f>
        <v/>
      </c>
      <c r="F196" s="667" t="str">
        <f>IFERROR(IF(Prêt_Non_Payé*Valeurs_Entrées,Capital,""), "")</f>
        <v/>
      </c>
      <c r="G196" s="667" t="str">
        <f>IFERROR(IF(Prêt_Non_Payé*Valeurs_Entrées,Intérêts,""), "")</f>
        <v/>
      </c>
      <c r="H196" s="667" t="str">
        <f>IFERROR(IF(Prêt_Non_Payé*Valeurs_Entrées,Solde_Final,""), "")</f>
        <v/>
      </c>
    </row>
    <row r="197" spans="2:8" x14ac:dyDescent="0.2">
      <c r="B197" s="665" t="str">
        <f>IFERROR(IF(Prêt_Non_Payé*Valeurs_Entrées,Numéro_Paiement,""), "")</f>
        <v/>
      </c>
      <c r="C197" s="666" t="str">
        <f>IFERROR(IF(Prêt_Non_Payé*Valeurs_Entrées,Date_Paiement,""), "")</f>
        <v/>
      </c>
      <c r="D197" s="667" t="str">
        <f>IFERROR(IF(Prêt_Non_Payé*Valeurs_Entrées,Solde_Départ,""), "")</f>
        <v/>
      </c>
      <c r="E197" s="667" t="str">
        <f>IFERROR(IF(Prêt_Non_Payé*Valeurs_Entrées,Mensualité,""), "")</f>
        <v/>
      </c>
      <c r="F197" s="667" t="str">
        <f>IFERROR(IF(Prêt_Non_Payé*Valeurs_Entrées,Capital,""), "")</f>
        <v/>
      </c>
      <c r="G197" s="667" t="str">
        <f>IFERROR(IF(Prêt_Non_Payé*Valeurs_Entrées,Intérêts,""), "")</f>
        <v/>
      </c>
      <c r="H197" s="667" t="str">
        <f>IFERROR(IF(Prêt_Non_Payé*Valeurs_Entrées,Solde_Final,""), "")</f>
        <v/>
      </c>
    </row>
    <row r="198" spans="2:8" x14ac:dyDescent="0.2">
      <c r="B198" s="665" t="str">
        <f>IFERROR(IF(Prêt_Non_Payé*Valeurs_Entrées,Numéro_Paiement,""), "")</f>
        <v/>
      </c>
      <c r="C198" s="666" t="str">
        <f>IFERROR(IF(Prêt_Non_Payé*Valeurs_Entrées,Date_Paiement,""), "")</f>
        <v/>
      </c>
      <c r="D198" s="667" t="str">
        <f>IFERROR(IF(Prêt_Non_Payé*Valeurs_Entrées,Solde_Départ,""), "")</f>
        <v/>
      </c>
      <c r="E198" s="667" t="str">
        <f>IFERROR(IF(Prêt_Non_Payé*Valeurs_Entrées,Mensualité,""), "")</f>
        <v/>
      </c>
      <c r="F198" s="667" t="str">
        <f>IFERROR(IF(Prêt_Non_Payé*Valeurs_Entrées,Capital,""), "")</f>
        <v/>
      </c>
      <c r="G198" s="667" t="str">
        <f>IFERROR(IF(Prêt_Non_Payé*Valeurs_Entrées,Intérêts,""), "")</f>
        <v/>
      </c>
      <c r="H198" s="667" t="str">
        <f>IFERROR(IF(Prêt_Non_Payé*Valeurs_Entrées,Solde_Final,""), "")</f>
        <v/>
      </c>
    </row>
    <row r="199" spans="2:8" x14ac:dyDescent="0.2">
      <c r="B199" s="665" t="str">
        <f>IFERROR(IF(Prêt_Non_Payé*Valeurs_Entrées,Numéro_Paiement,""), "")</f>
        <v/>
      </c>
      <c r="C199" s="666" t="str">
        <f>IFERROR(IF(Prêt_Non_Payé*Valeurs_Entrées,Date_Paiement,""), "")</f>
        <v/>
      </c>
      <c r="D199" s="667" t="str">
        <f>IFERROR(IF(Prêt_Non_Payé*Valeurs_Entrées,Solde_Départ,""), "")</f>
        <v/>
      </c>
      <c r="E199" s="667" t="str">
        <f>IFERROR(IF(Prêt_Non_Payé*Valeurs_Entrées,Mensualité,""), "")</f>
        <v/>
      </c>
      <c r="F199" s="667" t="str">
        <f>IFERROR(IF(Prêt_Non_Payé*Valeurs_Entrées,Capital,""), "")</f>
        <v/>
      </c>
      <c r="G199" s="667" t="str">
        <f>IFERROR(IF(Prêt_Non_Payé*Valeurs_Entrées,Intérêts,""), "")</f>
        <v/>
      </c>
      <c r="H199" s="667" t="str">
        <f>IFERROR(IF(Prêt_Non_Payé*Valeurs_Entrées,Solde_Final,""), "")</f>
        <v/>
      </c>
    </row>
    <row r="200" spans="2:8" x14ac:dyDescent="0.2">
      <c r="B200" s="665" t="str">
        <f>IFERROR(IF(Prêt_Non_Payé*Valeurs_Entrées,Numéro_Paiement,""), "")</f>
        <v/>
      </c>
      <c r="C200" s="666" t="str">
        <f>IFERROR(IF(Prêt_Non_Payé*Valeurs_Entrées,Date_Paiement,""), "")</f>
        <v/>
      </c>
      <c r="D200" s="667" t="str">
        <f>IFERROR(IF(Prêt_Non_Payé*Valeurs_Entrées,Solde_Départ,""), "")</f>
        <v/>
      </c>
      <c r="E200" s="667" t="str">
        <f>IFERROR(IF(Prêt_Non_Payé*Valeurs_Entrées,Mensualité,""), "")</f>
        <v/>
      </c>
      <c r="F200" s="667" t="str">
        <f>IFERROR(IF(Prêt_Non_Payé*Valeurs_Entrées,Capital,""), "")</f>
        <v/>
      </c>
      <c r="G200" s="667" t="str">
        <f>IFERROR(IF(Prêt_Non_Payé*Valeurs_Entrées,Intérêts,""), "")</f>
        <v/>
      </c>
      <c r="H200" s="667" t="str">
        <f>IFERROR(IF(Prêt_Non_Payé*Valeurs_Entrées,Solde_Final,""), "")</f>
        <v/>
      </c>
    </row>
    <row r="201" spans="2:8" x14ac:dyDescent="0.2">
      <c r="B201" s="665" t="str">
        <f>IFERROR(IF(Prêt_Non_Payé*Valeurs_Entrées,Numéro_Paiement,""), "")</f>
        <v/>
      </c>
      <c r="C201" s="666" t="str">
        <f>IFERROR(IF(Prêt_Non_Payé*Valeurs_Entrées,Date_Paiement,""), "")</f>
        <v/>
      </c>
      <c r="D201" s="667" t="str">
        <f>IFERROR(IF(Prêt_Non_Payé*Valeurs_Entrées,Solde_Départ,""), "")</f>
        <v/>
      </c>
      <c r="E201" s="667" t="str">
        <f>IFERROR(IF(Prêt_Non_Payé*Valeurs_Entrées,Mensualité,""), "")</f>
        <v/>
      </c>
      <c r="F201" s="667" t="str">
        <f>IFERROR(IF(Prêt_Non_Payé*Valeurs_Entrées,Capital,""), "")</f>
        <v/>
      </c>
      <c r="G201" s="667" t="str">
        <f>IFERROR(IF(Prêt_Non_Payé*Valeurs_Entrées,Intérêts,""), "")</f>
        <v/>
      </c>
      <c r="H201" s="667" t="str">
        <f>IFERROR(IF(Prêt_Non_Payé*Valeurs_Entrées,Solde_Final,""), "")</f>
        <v/>
      </c>
    </row>
    <row r="202" spans="2:8" x14ac:dyDescent="0.2">
      <c r="B202" s="665" t="str">
        <f>IFERROR(IF(Prêt_Non_Payé*Valeurs_Entrées,Numéro_Paiement,""), "")</f>
        <v/>
      </c>
      <c r="C202" s="666" t="str">
        <f>IFERROR(IF(Prêt_Non_Payé*Valeurs_Entrées,Date_Paiement,""), "")</f>
        <v/>
      </c>
      <c r="D202" s="667" t="str">
        <f>IFERROR(IF(Prêt_Non_Payé*Valeurs_Entrées,Solde_Départ,""), "")</f>
        <v/>
      </c>
      <c r="E202" s="667" t="str">
        <f>IFERROR(IF(Prêt_Non_Payé*Valeurs_Entrées,Mensualité,""), "")</f>
        <v/>
      </c>
      <c r="F202" s="667" t="str">
        <f>IFERROR(IF(Prêt_Non_Payé*Valeurs_Entrées,Capital,""), "")</f>
        <v/>
      </c>
      <c r="G202" s="667" t="str">
        <f>IFERROR(IF(Prêt_Non_Payé*Valeurs_Entrées,Intérêts,""), "")</f>
        <v/>
      </c>
      <c r="H202" s="667" t="str">
        <f>IFERROR(IF(Prêt_Non_Payé*Valeurs_Entrées,Solde_Final,""), "")</f>
        <v/>
      </c>
    </row>
    <row r="203" spans="2:8" x14ac:dyDescent="0.2">
      <c r="B203" s="665" t="str">
        <f>IFERROR(IF(Prêt_Non_Payé*Valeurs_Entrées,Numéro_Paiement,""), "")</f>
        <v/>
      </c>
      <c r="C203" s="666" t="str">
        <f>IFERROR(IF(Prêt_Non_Payé*Valeurs_Entrées,Date_Paiement,""), "")</f>
        <v/>
      </c>
      <c r="D203" s="667" t="str">
        <f>IFERROR(IF(Prêt_Non_Payé*Valeurs_Entrées,Solde_Départ,""), "")</f>
        <v/>
      </c>
      <c r="E203" s="667" t="str">
        <f>IFERROR(IF(Prêt_Non_Payé*Valeurs_Entrées,Mensualité,""), "")</f>
        <v/>
      </c>
      <c r="F203" s="667" t="str">
        <f>IFERROR(IF(Prêt_Non_Payé*Valeurs_Entrées,Capital,""), "")</f>
        <v/>
      </c>
      <c r="G203" s="667" t="str">
        <f>IFERROR(IF(Prêt_Non_Payé*Valeurs_Entrées,Intérêts,""), "")</f>
        <v/>
      </c>
      <c r="H203" s="667" t="str">
        <f>IFERROR(IF(Prêt_Non_Payé*Valeurs_Entrées,Solde_Final,""), "")</f>
        <v/>
      </c>
    </row>
    <row r="204" spans="2:8" x14ac:dyDescent="0.2">
      <c r="B204" s="665" t="str">
        <f>IFERROR(IF(Prêt_Non_Payé*Valeurs_Entrées,Numéro_Paiement,""), "")</f>
        <v/>
      </c>
      <c r="C204" s="666" t="str">
        <f>IFERROR(IF(Prêt_Non_Payé*Valeurs_Entrées,Date_Paiement,""), "")</f>
        <v/>
      </c>
      <c r="D204" s="667" t="str">
        <f>IFERROR(IF(Prêt_Non_Payé*Valeurs_Entrées,Solde_Départ,""), "")</f>
        <v/>
      </c>
      <c r="E204" s="667" t="str">
        <f>IFERROR(IF(Prêt_Non_Payé*Valeurs_Entrées,Mensualité,""), "")</f>
        <v/>
      </c>
      <c r="F204" s="667" t="str">
        <f>IFERROR(IF(Prêt_Non_Payé*Valeurs_Entrées,Capital,""), "")</f>
        <v/>
      </c>
      <c r="G204" s="667" t="str">
        <f>IFERROR(IF(Prêt_Non_Payé*Valeurs_Entrées,Intérêts,""), "")</f>
        <v/>
      </c>
      <c r="H204" s="667" t="str">
        <f>IFERROR(IF(Prêt_Non_Payé*Valeurs_Entrées,Solde_Final,""), "")</f>
        <v/>
      </c>
    </row>
    <row r="205" spans="2:8" x14ac:dyDescent="0.2">
      <c r="B205" s="665" t="str">
        <f>IFERROR(IF(Prêt_Non_Payé*Valeurs_Entrées,Numéro_Paiement,""), "")</f>
        <v/>
      </c>
      <c r="C205" s="666" t="str">
        <f>IFERROR(IF(Prêt_Non_Payé*Valeurs_Entrées,Date_Paiement,""), "")</f>
        <v/>
      </c>
      <c r="D205" s="667" t="str">
        <f>IFERROR(IF(Prêt_Non_Payé*Valeurs_Entrées,Solde_Départ,""), "")</f>
        <v/>
      </c>
      <c r="E205" s="667" t="str">
        <f>IFERROR(IF(Prêt_Non_Payé*Valeurs_Entrées,Mensualité,""), "")</f>
        <v/>
      </c>
      <c r="F205" s="667" t="str">
        <f>IFERROR(IF(Prêt_Non_Payé*Valeurs_Entrées,Capital,""), "")</f>
        <v/>
      </c>
      <c r="G205" s="667" t="str">
        <f>IFERROR(IF(Prêt_Non_Payé*Valeurs_Entrées,Intérêts,""), "")</f>
        <v/>
      </c>
      <c r="H205" s="667" t="str">
        <f>IFERROR(IF(Prêt_Non_Payé*Valeurs_Entrées,Solde_Final,""), "")</f>
        <v/>
      </c>
    </row>
    <row r="206" spans="2:8" x14ac:dyDescent="0.2">
      <c r="B206" s="665" t="str">
        <f>IFERROR(IF(Prêt_Non_Payé*Valeurs_Entrées,Numéro_Paiement,""), "")</f>
        <v/>
      </c>
      <c r="C206" s="666" t="str">
        <f>IFERROR(IF(Prêt_Non_Payé*Valeurs_Entrées,Date_Paiement,""), "")</f>
        <v/>
      </c>
      <c r="D206" s="667" t="str">
        <f>IFERROR(IF(Prêt_Non_Payé*Valeurs_Entrées,Solde_Départ,""), "")</f>
        <v/>
      </c>
      <c r="E206" s="667" t="str">
        <f>IFERROR(IF(Prêt_Non_Payé*Valeurs_Entrées,Mensualité,""), "")</f>
        <v/>
      </c>
      <c r="F206" s="667" t="str">
        <f>IFERROR(IF(Prêt_Non_Payé*Valeurs_Entrées,Capital,""), "")</f>
        <v/>
      </c>
      <c r="G206" s="667" t="str">
        <f>IFERROR(IF(Prêt_Non_Payé*Valeurs_Entrées,Intérêts,""), "")</f>
        <v/>
      </c>
      <c r="H206" s="667" t="str">
        <f>IFERROR(IF(Prêt_Non_Payé*Valeurs_Entrées,Solde_Final,""), "")</f>
        <v/>
      </c>
    </row>
    <row r="207" spans="2:8" x14ac:dyDescent="0.2">
      <c r="B207" s="665" t="str">
        <f>IFERROR(IF(Prêt_Non_Payé*Valeurs_Entrées,Numéro_Paiement,""), "")</f>
        <v/>
      </c>
      <c r="C207" s="666" t="str">
        <f>IFERROR(IF(Prêt_Non_Payé*Valeurs_Entrées,Date_Paiement,""), "")</f>
        <v/>
      </c>
      <c r="D207" s="667" t="str">
        <f>IFERROR(IF(Prêt_Non_Payé*Valeurs_Entrées,Solde_Départ,""), "")</f>
        <v/>
      </c>
      <c r="E207" s="667" t="str">
        <f>IFERROR(IF(Prêt_Non_Payé*Valeurs_Entrées,Mensualité,""), "")</f>
        <v/>
      </c>
      <c r="F207" s="667" t="str">
        <f>IFERROR(IF(Prêt_Non_Payé*Valeurs_Entrées,Capital,""), "")</f>
        <v/>
      </c>
      <c r="G207" s="667" t="str">
        <f>IFERROR(IF(Prêt_Non_Payé*Valeurs_Entrées,Intérêts,""), "")</f>
        <v/>
      </c>
      <c r="H207" s="667" t="str">
        <f>IFERROR(IF(Prêt_Non_Payé*Valeurs_Entrées,Solde_Final,""), "")</f>
        <v/>
      </c>
    </row>
    <row r="208" spans="2:8" x14ac:dyDescent="0.2">
      <c r="B208" s="665" t="str">
        <f>IFERROR(IF(Prêt_Non_Payé*Valeurs_Entrées,Numéro_Paiement,""), "")</f>
        <v/>
      </c>
      <c r="C208" s="666" t="str">
        <f>IFERROR(IF(Prêt_Non_Payé*Valeurs_Entrées,Date_Paiement,""), "")</f>
        <v/>
      </c>
      <c r="D208" s="667" t="str">
        <f>IFERROR(IF(Prêt_Non_Payé*Valeurs_Entrées,Solde_Départ,""), "")</f>
        <v/>
      </c>
      <c r="E208" s="667" t="str">
        <f>IFERROR(IF(Prêt_Non_Payé*Valeurs_Entrées,Mensualité,""), "")</f>
        <v/>
      </c>
      <c r="F208" s="667" t="str">
        <f>IFERROR(IF(Prêt_Non_Payé*Valeurs_Entrées,Capital,""), "")</f>
        <v/>
      </c>
      <c r="G208" s="667" t="str">
        <f>IFERROR(IF(Prêt_Non_Payé*Valeurs_Entrées,Intérêts,""), "")</f>
        <v/>
      </c>
      <c r="H208" s="667" t="str">
        <f>IFERROR(IF(Prêt_Non_Payé*Valeurs_Entrées,Solde_Final,""), "")</f>
        <v/>
      </c>
    </row>
    <row r="209" spans="2:8" x14ac:dyDescent="0.2">
      <c r="B209" s="665" t="str">
        <f>IFERROR(IF(Prêt_Non_Payé*Valeurs_Entrées,Numéro_Paiement,""), "")</f>
        <v/>
      </c>
      <c r="C209" s="666" t="str">
        <f>IFERROR(IF(Prêt_Non_Payé*Valeurs_Entrées,Date_Paiement,""), "")</f>
        <v/>
      </c>
      <c r="D209" s="667" t="str">
        <f>IFERROR(IF(Prêt_Non_Payé*Valeurs_Entrées,Solde_Départ,""), "")</f>
        <v/>
      </c>
      <c r="E209" s="667" t="str">
        <f>IFERROR(IF(Prêt_Non_Payé*Valeurs_Entrées,Mensualité,""), "")</f>
        <v/>
      </c>
      <c r="F209" s="667" t="str">
        <f>IFERROR(IF(Prêt_Non_Payé*Valeurs_Entrées,Capital,""), "")</f>
        <v/>
      </c>
      <c r="G209" s="667" t="str">
        <f>IFERROR(IF(Prêt_Non_Payé*Valeurs_Entrées,Intérêts,""), "")</f>
        <v/>
      </c>
      <c r="H209" s="667" t="str">
        <f>IFERROR(IF(Prêt_Non_Payé*Valeurs_Entrées,Solde_Final,""), "")</f>
        <v/>
      </c>
    </row>
    <row r="210" spans="2:8" x14ac:dyDescent="0.2">
      <c r="B210" s="665" t="str">
        <f>IFERROR(IF(Prêt_Non_Payé*Valeurs_Entrées,Numéro_Paiement,""), "")</f>
        <v/>
      </c>
      <c r="C210" s="666" t="str">
        <f>IFERROR(IF(Prêt_Non_Payé*Valeurs_Entrées,Date_Paiement,""), "")</f>
        <v/>
      </c>
      <c r="D210" s="667" t="str">
        <f>IFERROR(IF(Prêt_Non_Payé*Valeurs_Entrées,Solde_Départ,""), "")</f>
        <v/>
      </c>
      <c r="E210" s="667" t="str">
        <f>IFERROR(IF(Prêt_Non_Payé*Valeurs_Entrées,Mensualité,""), "")</f>
        <v/>
      </c>
      <c r="F210" s="667" t="str">
        <f>IFERROR(IF(Prêt_Non_Payé*Valeurs_Entrées,Capital,""), "")</f>
        <v/>
      </c>
      <c r="G210" s="667" t="str">
        <f>IFERROR(IF(Prêt_Non_Payé*Valeurs_Entrées,Intérêts,""), "")</f>
        <v/>
      </c>
      <c r="H210" s="667" t="str">
        <f>IFERROR(IF(Prêt_Non_Payé*Valeurs_Entrées,Solde_Final,""), "")</f>
        <v/>
      </c>
    </row>
    <row r="211" spans="2:8" x14ac:dyDescent="0.2">
      <c r="B211" s="665" t="str">
        <f>IFERROR(IF(Prêt_Non_Payé*Valeurs_Entrées,Numéro_Paiement,""), "")</f>
        <v/>
      </c>
      <c r="C211" s="666" t="str">
        <f>IFERROR(IF(Prêt_Non_Payé*Valeurs_Entrées,Date_Paiement,""), "")</f>
        <v/>
      </c>
      <c r="D211" s="667" t="str">
        <f>IFERROR(IF(Prêt_Non_Payé*Valeurs_Entrées,Solde_Départ,""), "")</f>
        <v/>
      </c>
      <c r="E211" s="667" t="str">
        <f>IFERROR(IF(Prêt_Non_Payé*Valeurs_Entrées,Mensualité,""), "")</f>
        <v/>
      </c>
      <c r="F211" s="667" t="str">
        <f>IFERROR(IF(Prêt_Non_Payé*Valeurs_Entrées,Capital,""), "")</f>
        <v/>
      </c>
      <c r="G211" s="667" t="str">
        <f>IFERROR(IF(Prêt_Non_Payé*Valeurs_Entrées,Intérêts,""), "")</f>
        <v/>
      </c>
      <c r="H211" s="667" t="str">
        <f>IFERROR(IF(Prêt_Non_Payé*Valeurs_Entrées,Solde_Final,""), "")</f>
        <v/>
      </c>
    </row>
    <row r="212" spans="2:8" x14ac:dyDescent="0.2">
      <c r="B212" s="665" t="str">
        <f>IFERROR(IF(Prêt_Non_Payé*Valeurs_Entrées,Numéro_Paiement,""), "")</f>
        <v/>
      </c>
      <c r="C212" s="666" t="str">
        <f>IFERROR(IF(Prêt_Non_Payé*Valeurs_Entrées,Date_Paiement,""), "")</f>
        <v/>
      </c>
      <c r="D212" s="667" t="str">
        <f>IFERROR(IF(Prêt_Non_Payé*Valeurs_Entrées,Solde_Départ,""), "")</f>
        <v/>
      </c>
      <c r="E212" s="667" t="str">
        <f>IFERROR(IF(Prêt_Non_Payé*Valeurs_Entrées,Mensualité,""), "")</f>
        <v/>
      </c>
      <c r="F212" s="667" t="str">
        <f>IFERROR(IF(Prêt_Non_Payé*Valeurs_Entrées,Capital,""), "")</f>
        <v/>
      </c>
      <c r="G212" s="667" t="str">
        <f>IFERROR(IF(Prêt_Non_Payé*Valeurs_Entrées,Intérêts,""), "")</f>
        <v/>
      </c>
      <c r="H212" s="667" t="str">
        <f>IFERROR(IF(Prêt_Non_Payé*Valeurs_Entrées,Solde_Final,""), "")</f>
        <v/>
      </c>
    </row>
    <row r="213" spans="2:8" x14ac:dyDescent="0.2">
      <c r="B213" s="665" t="str">
        <f>IFERROR(IF(Prêt_Non_Payé*Valeurs_Entrées,Numéro_Paiement,""), "")</f>
        <v/>
      </c>
      <c r="C213" s="666" t="str">
        <f>IFERROR(IF(Prêt_Non_Payé*Valeurs_Entrées,Date_Paiement,""), "")</f>
        <v/>
      </c>
      <c r="D213" s="667" t="str">
        <f>IFERROR(IF(Prêt_Non_Payé*Valeurs_Entrées,Solde_Départ,""), "")</f>
        <v/>
      </c>
      <c r="E213" s="667" t="str">
        <f>IFERROR(IF(Prêt_Non_Payé*Valeurs_Entrées,Mensualité,""), "")</f>
        <v/>
      </c>
      <c r="F213" s="667" t="str">
        <f>IFERROR(IF(Prêt_Non_Payé*Valeurs_Entrées,Capital,""), "")</f>
        <v/>
      </c>
      <c r="G213" s="667" t="str">
        <f>IFERROR(IF(Prêt_Non_Payé*Valeurs_Entrées,Intérêts,""), "")</f>
        <v/>
      </c>
      <c r="H213" s="667" t="str">
        <f>IFERROR(IF(Prêt_Non_Payé*Valeurs_Entrées,Solde_Final,""), "")</f>
        <v/>
      </c>
    </row>
    <row r="214" spans="2:8" x14ac:dyDescent="0.2">
      <c r="B214" s="665" t="str">
        <f>IFERROR(IF(Prêt_Non_Payé*Valeurs_Entrées,Numéro_Paiement,""), "")</f>
        <v/>
      </c>
      <c r="C214" s="666" t="str">
        <f>IFERROR(IF(Prêt_Non_Payé*Valeurs_Entrées,Date_Paiement,""), "")</f>
        <v/>
      </c>
      <c r="D214" s="667" t="str">
        <f>IFERROR(IF(Prêt_Non_Payé*Valeurs_Entrées,Solde_Départ,""), "")</f>
        <v/>
      </c>
      <c r="E214" s="667" t="str">
        <f>IFERROR(IF(Prêt_Non_Payé*Valeurs_Entrées,Mensualité,""), "")</f>
        <v/>
      </c>
      <c r="F214" s="667" t="str">
        <f>IFERROR(IF(Prêt_Non_Payé*Valeurs_Entrées,Capital,""), "")</f>
        <v/>
      </c>
      <c r="G214" s="667" t="str">
        <f>IFERROR(IF(Prêt_Non_Payé*Valeurs_Entrées,Intérêts,""), "")</f>
        <v/>
      </c>
      <c r="H214" s="667" t="str">
        <f>IFERROR(IF(Prêt_Non_Payé*Valeurs_Entrées,Solde_Final,""), "")</f>
        <v/>
      </c>
    </row>
    <row r="215" spans="2:8" x14ac:dyDescent="0.2">
      <c r="B215" s="665" t="str">
        <f>IFERROR(IF(Prêt_Non_Payé*Valeurs_Entrées,Numéro_Paiement,""), "")</f>
        <v/>
      </c>
      <c r="C215" s="666" t="str">
        <f>IFERROR(IF(Prêt_Non_Payé*Valeurs_Entrées,Date_Paiement,""), "")</f>
        <v/>
      </c>
      <c r="D215" s="667" t="str">
        <f>IFERROR(IF(Prêt_Non_Payé*Valeurs_Entrées,Solde_Départ,""), "")</f>
        <v/>
      </c>
      <c r="E215" s="667" t="str">
        <f>IFERROR(IF(Prêt_Non_Payé*Valeurs_Entrées,Mensualité,""), "")</f>
        <v/>
      </c>
      <c r="F215" s="667" t="str">
        <f>IFERROR(IF(Prêt_Non_Payé*Valeurs_Entrées,Capital,""), "")</f>
        <v/>
      </c>
      <c r="G215" s="667" t="str">
        <f>IFERROR(IF(Prêt_Non_Payé*Valeurs_Entrées,Intérêts,""), "")</f>
        <v/>
      </c>
      <c r="H215" s="667" t="str">
        <f>IFERROR(IF(Prêt_Non_Payé*Valeurs_Entrées,Solde_Final,""), "")</f>
        <v/>
      </c>
    </row>
    <row r="216" spans="2:8" x14ac:dyDescent="0.2">
      <c r="B216" s="665" t="str">
        <f>IFERROR(IF(Prêt_Non_Payé*Valeurs_Entrées,Numéro_Paiement,""), "")</f>
        <v/>
      </c>
      <c r="C216" s="666" t="str">
        <f>IFERROR(IF(Prêt_Non_Payé*Valeurs_Entrées,Date_Paiement,""), "")</f>
        <v/>
      </c>
      <c r="D216" s="667" t="str">
        <f>IFERROR(IF(Prêt_Non_Payé*Valeurs_Entrées,Solde_Départ,""), "")</f>
        <v/>
      </c>
      <c r="E216" s="667" t="str">
        <f>IFERROR(IF(Prêt_Non_Payé*Valeurs_Entrées,Mensualité,""), "")</f>
        <v/>
      </c>
      <c r="F216" s="667" t="str">
        <f>IFERROR(IF(Prêt_Non_Payé*Valeurs_Entrées,Capital,""), "")</f>
        <v/>
      </c>
      <c r="G216" s="667" t="str">
        <f>IFERROR(IF(Prêt_Non_Payé*Valeurs_Entrées,Intérêts,""), "")</f>
        <v/>
      </c>
      <c r="H216" s="667" t="str">
        <f>IFERROR(IF(Prêt_Non_Payé*Valeurs_Entrées,Solde_Final,""), "")</f>
        <v/>
      </c>
    </row>
    <row r="217" spans="2:8" x14ac:dyDescent="0.2">
      <c r="B217" s="665" t="str">
        <f>IFERROR(IF(Prêt_Non_Payé*Valeurs_Entrées,Numéro_Paiement,""), "")</f>
        <v/>
      </c>
      <c r="C217" s="666" t="str">
        <f>IFERROR(IF(Prêt_Non_Payé*Valeurs_Entrées,Date_Paiement,""), "")</f>
        <v/>
      </c>
      <c r="D217" s="667" t="str">
        <f>IFERROR(IF(Prêt_Non_Payé*Valeurs_Entrées,Solde_Départ,""), "")</f>
        <v/>
      </c>
      <c r="E217" s="667" t="str">
        <f>IFERROR(IF(Prêt_Non_Payé*Valeurs_Entrées,Mensualité,""), "")</f>
        <v/>
      </c>
      <c r="F217" s="667" t="str">
        <f>IFERROR(IF(Prêt_Non_Payé*Valeurs_Entrées,Capital,""), "")</f>
        <v/>
      </c>
      <c r="G217" s="667" t="str">
        <f>IFERROR(IF(Prêt_Non_Payé*Valeurs_Entrées,Intérêts,""), "")</f>
        <v/>
      </c>
      <c r="H217" s="667" t="str">
        <f>IFERROR(IF(Prêt_Non_Payé*Valeurs_Entrées,Solde_Final,""), "")</f>
        <v/>
      </c>
    </row>
    <row r="218" spans="2:8" x14ac:dyDescent="0.2">
      <c r="B218" s="665" t="str">
        <f>IFERROR(IF(Prêt_Non_Payé*Valeurs_Entrées,Numéro_Paiement,""), "")</f>
        <v/>
      </c>
      <c r="C218" s="666" t="str">
        <f>IFERROR(IF(Prêt_Non_Payé*Valeurs_Entrées,Date_Paiement,""), "")</f>
        <v/>
      </c>
      <c r="D218" s="667" t="str">
        <f>IFERROR(IF(Prêt_Non_Payé*Valeurs_Entrées,Solde_Départ,""), "")</f>
        <v/>
      </c>
      <c r="E218" s="667" t="str">
        <f>IFERROR(IF(Prêt_Non_Payé*Valeurs_Entrées,Mensualité,""), "")</f>
        <v/>
      </c>
      <c r="F218" s="667" t="str">
        <f>IFERROR(IF(Prêt_Non_Payé*Valeurs_Entrées,Capital,""), "")</f>
        <v/>
      </c>
      <c r="G218" s="667" t="str">
        <f>IFERROR(IF(Prêt_Non_Payé*Valeurs_Entrées,Intérêts,""), "")</f>
        <v/>
      </c>
      <c r="H218" s="667" t="str">
        <f>IFERROR(IF(Prêt_Non_Payé*Valeurs_Entrées,Solde_Final,""), "")</f>
        <v/>
      </c>
    </row>
    <row r="219" spans="2:8" x14ac:dyDescent="0.2">
      <c r="B219" s="665" t="str">
        <f>IFERROR(IF(Prêt_Non_Payé*Valeurs_Entrées,Numéro_Paiement,""), "")</f>
        <v/>
      </c>
      <c r="C219" s="666" t="str">
        <f>IFERROR(IF(Prêt_Non_Payé*Valeurs_Entrées,Date_Paiement,""), "")</f>
        <v/>
      </c>
      <c r="D219" s="667" t="str">
        <f>IFERROR(IF(Prêt_Non_Payé*Valeurs_Entrées,Solde_Départ,""), "")</f>
        <v/>
      </c>
      <c r="E219" s="667" t="str">
        <f>IFERROR(IF(Prêt_Non_Payé*Valeurs_Entrées,Mensualité,""), "")</f>
        <v/>
      </c>
      <c r="F219" s="667" t="str">
        <f>IFERROR(IF(Prêt_Non_Payé*Valeurs_Entrées,Capital,""), "")</f>
        <v/>
      </c>
      <c r="G219" s="667" t="str">
        <f>IFERROR(IF(Prêt_Non_Payé*Valeurs_Entrées,Intérêts,""), "")</f>
        <v/>
      </c>
      <c r="H219" s="667" t="str">
        <f>IFERROR(IF(Prêt_Non_Payé*Valeurs_Entrées,Solde_Final,""), "")</f>
        <v/>
      </c>
    </row>
    <row r="220" spans="2:8" x14ac:dyDescent="0.2">
      <c r="B220" s="665" t="str">
        <f>IFERROR(IF(Prêt_Non_Payé*Valeurs_Entrées,Numéro_Paiement,""), "")</f>
        <v/>
      </c>
      <c r="C220" s="666" t="str">
        <f>IFERROR(IF(Prêt_Non_Payé*Valeurs_Entrées,Date_Paiement,""), "")</f>
        <v/>
      </c>
      <c r="D220" s="667" t="str">
        <f>IFERROR(IF(Prêt_Non_Payé*Valeurs_Entrées,Solde_Départ,""), "")</f>
        <v/>
      </c>
      <c r="E220" s="667" t="str">
        <f>IFERROR(IF(Prêt_Non_Payé*Valeurs_Entrées,Mensualité,""), "")</f>
        <v/>
      </c>
      <c r="F220" s="667" t="str">
        <f>IFERROR(IF(Prêt_Non_Payé*Valeurs_Entrées,Capital,""), "")</f>
        <v/>
      </c>
      <c r="G220" s="667" t="str">
        <f>IFERROR(IF(Prêt_Non_Payé*Valeurs_Entrées,Intérêts,""), "")</f>
        <v/>
      </c>
      <c r="H220" s="667" t="str">
        <f>IFERROR(IF(Prêt_Non_Payé*Valeurs_Entrées,Solde_Final,""), "")</f>
        <v/>
      </c>
    </row>
    <row r="221" spans="2:8" x14ac:dyDescent="0.2">
      <c r="B221" s="665" t="str">
        <f>IFERROR(IF(Prêt_Non_Payé*Valeurs_Entrées,Numéro_Paiement,""), "")</f>
        <v/>
      </c>
      <c r="C221" s="666" t="str">
        <f>IFERROR(IF(Prêt_Non_Payé*Valeurs_Entrées,Date_Paiement,""), "")</f>
        <v/>
      </c>
      <c r="D221" s="667" t="str">
        <f>IFERROR(IF(Prêt_Non_Payé*Valeurs_Entrées,Solde_Départ,""), "")</f>
        <v/>
      </c>
      <c r="E221" s="667" t="str">
        <f>IFERROR(IF(Prêt_Non_Payé*Valeurs_Entrées,Mensualité,""), "")</f>
        <v/>
      </c>
      <c r="F221" s="667" t="str">
        <f>IFERROR(IF(Prêt_Non_Payé*Valeurs_Entrées,Capital,""), "")</f>
        <v/>
      </c>
      <c r="G221" s="667" t="str">
        <f>IFERROR(IF(Prêt_Non_Payé*Valeurs_Entrées,Intérêts,""), "")</f>
        <v/>
      </c>
      <c r="H221" s="667" t="str">
        <f>IFERROR(IF(Prêt_Non_Payé*Valeurs_Entrées,Solde_Final,""), "")</f>
        <v/>
      </c>
    </row>
    <row r="222" spans="2:8" x14ac:dyDescent="0.2">
      <c r="B222" s="665" t="str">
        <f>IFERROR(IF(Prêt_Non_Payé*Valeurs_Entrées,Numéro_Paiement,""), "")</f>
        <v/>
      </c>
      <c r="C222" s="666" t="str">
        <f>IFERROR(IF(Prêt_Non_Payé*Valeurs_Entrées,Date_Paiement,""), "")</f>
        <v/>
      </c>
      <c r="D222" s="667" t="str">
        <f>IFERROR(IF(Prêt_Non_Payé*Valeurs_Entrées,Solde_Départ,""), "")</f>
        <v/>
      </c>
      <c r="E222" s="667" t="str">
        <f>IFERROR(IF(Prêt_Non_Payé*Valeurs_Entrées,Mensualité,""), "")</f>
        <v/>
      </c>
      <c r="F222" s="667" t="str">
        <f>IFERROR(IF(Prêt_Non_Payé*Valeurs_Entrées,Capital,""), "")</f>
        <v/>
      </c>
      <c r="G222" s="667" t="str">
        <f>IFERROR(IF(Prêt_Non_Payé*Valeurs_Entrées,Intérêts,""), "")</f>
        <v/>
      </c>
      <c r="H222" s="667" t="str">
        <f>IFERROR(IF(Prêt_Non_Payé*Valeurs_Entrées,Solde_Final,""), "")</f>
        <v/>
      </c>
    </row>
    <row r="223" spans="2:8" x14ac:dyDescent="0.2">
      <c r="B223" s="665" t="str">
        <f>IFERROR(IF(Prêt_Non_Payé*Valeurs_Entrées,Numéro_Paiement,""), "")</f>
        <v/>
      </c>
      <c r="C223" s="666" t="str">
        <f>IFERROR(IF(Prêt_Non_Payé*Valeurs_Entrées,Date_Paiement,""), "")</f>
        <v/>
      </c>
      <c r="D223" s="667" t="str">
        <f>IFERROR(IF(Prêt_Non_Payé*Valeurs_Entrées,Solde_Départ,""), "")</f>
        <v/>
      </c>
      <c r="E223" s="667" t="str">
        <f>IFERROR(IF(Prêt_Non_Payé*Valeurs_Entrées,Mensualité,""), "")</f>
        <v/>
      </c>
      <c r="F223" s="667" t="str">
        <f>IFERROR(IF(Prêt_Non_Payé*Valeurs_Entrées,Capital,""), "")</f>
        <v/>
      </c>
      <c r="G223" s="667" t="str">
        <f>IFERROR(IF(Prêt_Non_Payé*Valeurs_Entrées,Intérêts,""), "")</f>
        <v/>
      </c>
      <c r="H223" s="667" t="str">
        <f>IFERROR(IF(Prêt_Non_Payé*Valeurs_Entrées,Solde_Final,""), "")</f>
        <v/>
      </c>
    </row>
    <row r="224" spans="2:8" x14ac:dyDescent="0.2">
      <c r="B224" s="665" t="str">
        <f>IFERROR(IF(Prêt_Non_Payé*Valeurs_Entrées,Numéro_Paiement,""), "")</f>
        <v/>
      </c>
      <c r="C224" s="666" t="str">
        <f>IFERROR(IF(Prêt_Non_Payé*Valeurs_Entrées,Date_Paiement,""), "")</f>
        <v/>
      </c>
      <c r="D224" s="667" t="str">
        <f>IFERROR(IF(Prêt_Non_Payé*Valeurs_Entrées,Solde_Départ,""), "")</f>
        <v/>
      </c>
      <c r="E224" s="667" t="str">
        <f>IFERROR(IF(Prêt_Non_Payé*Valeurs_Entrées,Mensualité,""), "")</f>
        <v/>
      </c>
      <c r="F224" s="667" t="str">
        <f>IFERROR(IF(Prêt_Non_Payé*Valeurs_Entrées,Capital,""), "")</f>
        <v/>
      </c>
      <c r="G224" s="667" t="str">
        <f>IFERROR(IF(Prêt_Non_Payé*Valeurs_Entrées,Intérêts,""), "")</f>
        <v/>
      </c>
      <c r="H224" s="667" t="str">
        <f>IFERROR(IF(Prêt_Non_Payé*Valeurs_Entrées,Solde_Final,""), "")</f>
        <v/>
      </c>
    </row>
    <row r="225" spans="2:8" x14ac:dyDescent="0.2">
      <c r="B225" s="665" t="str">
        <f>IFERROR(IF(Prêt_Non_Payé*Valeurs_Entrées,Numéro_Paiement,""), "")</f>
        <v/>
      </c>
      <c r="C225" s="666" t="str">
        <f>IFERROR(IF(Prêt_Non_Payé*Valeurs_Entrées,Date_Paiement,""), "")</f>
        <v/>
      </c>
      <c r="D225" s="667" t="str">
        <f>IFERROR(IF(Prêt_Non_Payé*Valeurs_Entrées,Solde_Départ,""), "")</f>
        <v/>
      </c>
      <c r="E225" s="667" t="str">
        <f>IFERROR(IF(Prêt_Non_Payé*Valeurs_Entrées,Mensualité,""), "")</f>
        <v/>
      </c>
      <c r="F225" s="667" t="str">
        <f>IFERROR(IF(Prêt_Non_Payé*Valeurs_Entrées,Capital,""), "")</f>
        <v/>
      </c>
      <c r="G225" s="667" t="str">
        <f>IFERROR(IF(Prêt_Non_Payé*Valeurs_Entrées,Intérêts,""), "")</f>
        <v/>
      </c>
      <c r="H225" s="667" t="str">
        <f>IFERROR(IF(Prêt_Non_Payé*Valeurs_Entrées,Solde_Final,""), "")</f>
        <v/>
      </c>
    </row>
    <row r="226" spans="2:8" x14ac:dyDescent="0.2">
      <c r="B226" s="665" t="str">
        <f>IFERROR(IF(Prêt_Non_Payé*Valeurs_Entrées,Numéro_Paiement,""), "")</f>
        <v/>
      </c>
      <c r="C226" s="666" t="str">
        <f>IFERROR(IF(Prêt_Non_Payé*Valeurs_Entrées,Date_Paiement,""), "")</f>
        <v/>
      </c>
      <c r="D226" s="667" t="str">
        <f>IFERROR(IF(Prêt_Non_Payé*Valeurs_Entrées,Solde_Départ,""), "")</f>
        <v/>
      </c>
      <c r="E226" s="667" t="str">
        <f>IFERROR(IF(Prêt_Non_Payé*Valeurs_Entrées,Mensualité,""), "")</f>
        <v/>
      </c>
      <c r="F226" s="667" t="str">
        <f>IFERROR(IF(Prêt_Non_Payé*Valeurs_Entrées,Capital,""), "")</f>
        <v/>
      </c>
      <c r="G226" s="667" t="str">
        <f>IFERROR(IF(Prêt_Non_Payé*Valeurs_Entrées,Intérêts,""), "")</f>
        <v/>
      </c>
      <c r="H226" s="667" t="str">
        <f>IFERROR(IF(Prêt_Non_Payé*Valeurs_Entrées,Solde_Final,""), "")</f>
        <v/>
      </c>
    </row>
    <row r="227" spans="2:8" x14ac:dyDescent="0.2">
      <c r="B227" s="665" t="str">
        <f>IFERROR(IF(Prêt_Non_Payé*Valeurs_Entrées,Numéro_Paiement,""), "")</f>
        <v/>
      </c>
      <c r="C227" s="666" t="str">
        <f>IFERROR(IF(Prêt_Non_Payé*Valeurs_Entrées,Date_Paiement,""), "")</f>
        <v/>
      </c>
      <c r="D227" s="667" t="str">
        <f>IFERROR(IF(Prêt_Non_Payé*Valeurs_Entrées,Solde_Départ,""), "")</f>
        <v/>
      </c>
      <c r="E227" s="667" t="str">
        <f>IFERROR(IF(Prêt_Non_Payé*Valeurs_Entrées,Mensualité,""), "")</f>
        <v/>
      </c>
      <c r="F227" s="667" t="str">
        <f>IFERROR(IF(Prêt_Non_Payé*Valeurs_Entrées,Capital,""), "")</f>
        <v/>
      </c>
      <c r="G227" s="667" t="str">
        <f>IFERROR(IF(Prêt_Non_Payé*Valeurs_Entrées,Intérêts,""), "")</f>
        <v/>
      </c>
      <c r="H227" s="667" t="str">
        <f>IFERROR(IF(Prêt_Non_Payé*Valeurs_Entrées,Solde_Final,""), "")</f>
        <v/>
      </c>
    </row>
    <row r="228" spans="2:8" x14ac:dyDescent="0.2">
      <c r="B228" s="665" t="str">
        <f>IFERROR(IF(Prêt_Non_Payé*Valeurs_Entrées,Numéro_Paiement,""), "")</f>
        <v/>
      </c>
      <c r="C228" s="666" t="str">
        <f>IFERROR(IF(Prêt_Non_Payé*Valeurs_Entrées,Date_Paiement,""), "")</f>
        <v/>
      </c>
      <c r="D228" s="667" t="str">
        <f>IFERROR(IF(Prêt_Non_Payé*Valeurs_Entrées,Solde_Départ,""), "")</f>
        <v/>
      </c>
      <c r="E228" s="667" t="str">
        <f>IFERROR(IF(Prêt_Non_Payé*Valeurs_Entrées,Mensualité,""), "")</f>
        <v/>
      </c>
      <c r="F228" s="667" t="str">
        <f>IFERROR(IF(Prêt_Non_Payé*Valeurs_Entrées,Capital,""), "")</f>
        <v/>
      </c>
      <c r="G228" s="667" t="str">
        <f>IFERROR(IF(Prêt_Non_Payé*Valeurs_Entrées,Intérêts,""), "")</f>
        <v/>
      </c>
      <c r="H228" s="667" t="str">
        <f>IFERROR(IF(Prêt_Non_Payé*Valeurs_Entrées,Solde_Final,""), "")</f>
        <v/>
      </c>
    </row>
    <row r="229" spans="2:8" x14ac:dyDescent="0.2">
      <c r="B229" s="665" t="str">
        <f>IFERROR(IF(Prêt_Non_Payé*Valeurs_Entrées,Numéro_Paiement,""), "")</f>
        <v/>
      </c>
      <c r="C229" s="666" t="str">
        <f>IFERROR(IF(Prêt_Non_Payé*Valeurs_Entrées,Date_Paiement,""), "")</f>
        <v/>
      </c>
      <c r="D229" s="667" t="str">
        <f>IFERROR(IF(Prêt_Non_Payé*Valeurs_Entrées,Solde_Départ,""), "")</f>
        <v/>
      </c>
      <c r="E229" s="667" t="str">
        <f>IFERROR(IF(Prêt_Non_Payé*Valeurs_Entrées,Mensualité,""), "")</f>
        <v/>
      </c>
      <c r="F229" s="667" t="str">
        <f>IFERROR(IF(Prêt_Non_Payé*Valeurs_Entrées,Capital,""), "")</f>
        <v/>
      </c>
      <c r="G229" s="667" t="str">
        <f>IFERROR(IF(Prêt_Non_Payé*Valeurs_Entrées,Intérêts,""), "")</f>
        <v/>
      </c>
      <c r="H229" s="667" t="str">
        <f>IFERROR(IF(Prêt_Non_Payé*Valeurs_Entrées,Solde_Final,""), "")</f>
        <v/>
      </c>
    </row>
    <row r="230" spans="2:8" x14ac:dyDescent="0.2">
      <c r="B230" s="665" t="str">
        <f>IFERROR(IF(Prêt_Non_Payé*Valeurs_Entrées,Numéro_Paiement,""), "")</f>
        <v/>
      </c>
      <c r="C230" s="666" t="str">
        <f>IFERROR(IF(Prêt_Non_Payé*Valeurs_Entrées,Date_Paiement,""), "")</f>
        <v/>
      </c>
      <c r="D230" s="667" t="str">
        <f>IFERROR(IF(Prêt_Non_Payé*Valeurs_Entrées,Solde_Départ,""), "")</f>
        <v/>
      </c>
      <c r="E230" s="667" t="str">
        <f>IFERROR(IF(Prêt_Non_Payé*Valeurs_Entrées,Mensualité,""), "")</f>
        <v/>
      </c>
      <c r="F230" s="667" t="str">
        <f>IFERROR(IF(Prêt_Non_Payé*Valeurs_Entrées,Capital,""), "")</f>
        <v/>
      </c>
      <c r="G230" s="667" t="str">
        <f>IFERROR(IF(Prêt_Non_Payé*Valeurs_Entrées,Intérêts,""), "")</f>
        <v/>
      </c>
      <c r="H230" s="667" t="str">
        <f>IFERROR(IF(Prêt_Non_Payé*Valeurs_Entrées,Solde_Final,""), "")</f>
        <v/>
      </c>
    </row>
    <row r="231" spans="2:8" x14ac:dyDescent="0.2">
      <c r="B231" s="665" t="str">
        <f>IFERROR(IF(Prêt_Non_Payé*Valeurs_Entrées,Numéro_Paiement,""), "")</f>
        <v/>
      </c>
      <c r="C231" s="666" t="str">
        <f>IFERROR(IF(Prêt_Non_Payé*Valeurs_Entrées,Date_Paiement,""), "")</f>
        <v/>
      </c>
      <c r="D231" s="667" t="str">
        <f>IFERROR(IF(Prêt_Non_Payé*Valeurs_Entrées,Solde_Départ,""), "")</f>
        <v/>
      </c>
      <c r="E231" s="667" t="str">
        <f>IFERROR(IF(Prêt_Non_Payé*Valeurs_Entrées,Mensualité,""), "")</f>
        <v/>
      </c>
      <c r="F231" s="667" t="str">
        <f>IFERROR(IF(Prêt_Non_Payé*Valeurs_Entrées,Capital,""), "")</f>
        <v/>
      </c>
      <c r="G231" s="667" t="str">
        <f>IFERROR(IF(Prêt_Non_Payé*Valeurs_Entrées,Intérêts,""), "")</f>
        <v/>
      </c>
      <c r="H231" s="667" t="str">
        <f>IFERROR(IF(Prêt_Non_Payé*Valeurs_Entrées,Solde_Final,""), "")</f>
        <v/>
      </c>
    </row>
    <row r="232" spans="2:8" x14ac:dyDescent="0.2">
      <c r="B232" s="665" t="str">
        <f>IFERROR(IF(Prêt_Non_Payé*Valeurs_Entrées,Numéro_Paiement,""), "")</f>
        <v/>
      </c>
      <c r="C232" s="666" t="str">
        <f>IFERROR(IF(Prêt_Non_Payé*Valeurs_Entrées,Date_Paiement,""), "")</f>
        <v/>
      </c>
      <c r="D232" s="667" t="str">
        <f>IFERROR(IF(Prêt_Non_Payé*Valeurs_Entrées,Solde_Départ,""), "")</f>
        <v/>
      </c>
      <c r="E232" s="667" t="str">
        <f>IFERROR(IF(Prêt_Non_Payé*Valeurs_Entrées,Mensualité,""), "")</f>
        <v/>
      </c>
      <c r="F232" s="667" t="str">
        <f>IFERROR(IF(Prêt_Non_Payé*Valeurs_Entrées,Capital,""), "")</f>
        <v/>
      </c>
      <c r="G232" s="667" t="str">
        <f>IFERROR(IF(Prêt_Non_Payé*Valeurs_Entrées,Intérêts,""), "")</f>
        <v/>
      </c>
      <c r="H232" s="667" t="str">
        <f>IFERROR(IF(Prêt_Non_Payé*Valeurs_Entrées,Solde_Final,""), "")</f>
        <v/>
      </c>
    </row>
    <row r="233" spans="2:8" x14ac:dyDescent="0.2">
      <c r="B233" s="665" t="str">
        <f>IFERROR(IF(Prêt_Non_Payé*Valeurs_Entrées,Numéro_Paiement,""), "")</f>
        <v/>
      </c>
      <c r="C233" s="666" t="str">
        <f>IFERROR(IF(Prêt_Non_Payé*Valeurs_Entrées,Date_Paiement,""), "")</f>
        <v/>
      </c>
      <c r="D233" s="667" t="str">
        <f>IFERROR(IF(Prêt_Non_Payé*Valeurs_Entrées,Solde_Départ,""), "")</f>
        <v/>
      </c>
      <c r="E233" s="667" t="str">
        <f>IFERROR(IF(Prêt_Non_Payé*Valeurs_Entrées,Mensualité,""), "")</f>
        <v/>
      </c>
      <c r="F233" s="667" t="str">
        <f>IFERROR(IF(Prêt_Non_Payé*Valeurs_Entrées,Capital,""), "")</f>
        <v/>
      </c>
      <c r="G233" s="667" t="str">
        <f>IFERROR(IF(Prêt_Non_Payé*Valeurs_Entrées,Intérêts,""), "")</f>
        <v/>
      </c>
      <c r="H233" s="667" t="str">
        <f>IFERROR(IF(Prêt_Non_Payé*Valeurs_Entrées,Solde_Final,""), "")</f>
        <v/>
      </c>
    </row>
    <row r="234" spans="2:8" x14ac:dyDescent="0.2">
      <c r="B234" s="665" t="str">
        <f>IFERROR(IF(Prêt_Non_Payé*Valeurs_Entrées,Numéro_Paiement,""), "")</f>
        <v/>
      </c>
      <c r="C234" s="666" t="str">
        <f>IFERROR(IF(Prêt_Non_Payé*Valeurs_Entrées,Date_Paiement,""), "")</f>
        <v/>
      </c>
      <c r="D234" s="667" t="str">
        <f>IFERROR(IF(Prêt_Non_Payé*Valeurs_Entrées,Solde_Départ,""), "")</f>
        <v/>
      </c>
      <c r="E234" s="667" t="str">
        <f>IFERROR(IF(Prêt_Non_Payé*Valeurs_Entrées,Mensualité,""), "")</f>
        <v/>
      </c>
      <c r="F234" s="667" t="str">
        <f>IFERROR(IF(Prêt_Non_Payé*Valeurs_Entrées,Capital,""), "")</f>
        <v/>
      </c>
      <c r="G234" s="667" t="str">
        <f>IFERROR(IF(Prêt_Non_Payé*Valeurs_Entrées,Intérêts,""), "")</f>
        <v/>
      </c>
      <c r="H234" s="667" t="str">
        <f>IFERROR(IF(Prêt_Non_Payé*Valeurs_Entrées,Solde_Final,""), "")</f>
        <v/>
      </c>
    </row>
    <row r="235" spans="2:8" x14ac:dyDescent="0.2">
      <c r="B235" s="665" t="str">
        <f>IFERROR(IF(Prêt_Non_Payé*Valeurs_Entrées,Numéro_Paiement,""), "")</f>
        <v/>
      </c>
      <c r="C235" s="666" t="str">
        <f>IFERROR(IF(Prêt_Non_Payé*Valeurs_Entrées,Date_Paiement,""), "")</f>
        <v/>
      </c>
      <c r="D235" s="667" t="str">
        <f>IFERROR(IF(Prêt_Non_Payé*Valeurs_Entrées,Solde_Départ,""), "")</f>
        <v/>
      </c>
      <c r="E235" s="667" t="str">
        <f>IFERROR(IF(Prêt_Non_Payé*Valeurs_Entrées,Mensualité,""), "")</f>
        <v/>
      </c>
      <c r="F235" s="667" t="str">
        <f>IFERROR(IF(Prêt_Non_Payé*Valeurs_Entrées,Capital,""), "")</f>
        <v/>
      </c>
      <c r="G235" s="667" t="str">
        <f>IFERROR(IF(Prêt_Non_Payé*Valeurs_Entrées,Intérêts,""), "")</f>
        <v/>
      </c>
      <c r="H235" s="667" t="str">
        <f>IFERROR(IF(Prêt_Non_Payé*Valeurs_Entrées,Solde_Final,""), "")</f>
        <v/>
      </c>
    </row>
    <row r="236" spans="2:8" x14ac:dyDescent="0.2">
      <c r="B236" s="665" t="str">
        <f>IFERROR(IF(Prêt_Non_Payé*Valeurs_Entrées,Numéro_Paiement,""), "")</f>
        <v/>
      </c>
      <c r="C236" s="666" t="str">
        <f>IFERROR(IF(Prêt_Non_Payé*Valeurs_Entrées,Date_Paiement,""), "")</f>
        <v/>
      </c>
      <c r="D236" s="667" t="str">
        <f>IFERROR(IF(Prêt_Non_Payé*Valeurs_Entrées,Solde_Départ,""), "")</f>
        <v/>
      </c>
      <c r="E236" s="667" t="str">
        <f>IFERROR(IF(Prêt_Non_Payé*Valeurs_Entrées,Mensualité,""), "")</f>
        <v/>
      </c>
      <c r="F236" s="667" t="str">
        <f>IFERROR(IF(Prêt_Non_Payé*Valeurs_Entrées,Capital,""), "")</f>
        <v/>
      </c>
      <c r="G236" s="667" t="str">
        <f>IFERROR(IF(Prêt_Non_Payé*Valeurs_Entrées,Intérêts,""), "")</f>
        <v/>
      </c>
      <c r="H236" s="667" t="str">
        <f>IFERROR(IF(Prêt_Non_Payé*Valeurs_Entrées,Solde_Final,""), "")</f>
        <v/>
      </c>
    </row>
    <row r="237" spans="2:8" x14ac:dyDescent="0.2">
      <c r="B237" s="665" t="str">
        <f>IFERROR(IF(Prêt_Non_Payé*Valeurs_Entrées,Numéro_Paiement,""), "")</f>
        <v/>
      </c>
      <c r="C237" s="666" t="str">
        <f>IFERROR(IF(Prêt_Non_Payé*Valeurs_Entrées,Date_Paiement,""), "")</f>
        <v/>
      </c>
      <c r="D237" s="667" t="str">
        <f>IFERROR(IF(Prêt_Non_Payé*Valeurs_Entrées,Solde_Départ,""), "")</f>
        <v/>
      </c>
      <c r="E237" s="667" t="str">
        <f>IFERROR(IF(Prêt_Non_Payé*Valeurs_Entrées,Mensualité,""), "")</f>
        <v/>
      </c>
      <c r="F237" s="667" t="str">
        <f>IFERROR(IF(Prêt_Non_Payé*Valeurs_Entrées,Capital,""), "")</f>
        <v/>
      </c>
      <c r="G237" s="667" t="str">
        <f>IFERROR(IF(Prêt_Non_Payé*Valeurs_Entrées,Intérêts,""), "")</f>
        <v/>
      </c>
      <c r="H237" s="667" t="str">
        <f>IFERROR(IF(Prêt_Non_Payé*Valeurs_Entrées,Solde_Final,""), "")</f>
        <v/>
      </c>
    </row>
    <row r="238" spans="2:8" x14ac:dyDescent="0.2">
      <c r="B238" s="665" t="str">
        <f>IFERROR(IF(Prêt_Non_Payé*Valeurs_Entrées,Numéro_Paiement,""), "")</f>
        <v/>
      </c>
      <c r="C238" s="666" t="str">
        <f>IFERROR(IF(Prêt_Non_Payé*Valeurs_Entrées,Date_Paiement,""), "")</f>
        <v/>
      </c>
      <c r="D238" s="667" t="str">
        <f>IFERROR(IF(Prêt_Non_Payé*Valeurs_Entrées,Solde_Départ,""), "")</f>
        <v/>
      </c>
      <c r="E238" s="667" t="str">
        <f>IFERROR(IF(Prêt_Non_Payé*Valeurs_Entrées,Mensualité,""), "")</f>
        <v/>
      </c>
      <c r="F238" s="667" t="str">
        <f>IFERROR(IF(Prêt_Non_Payé*Valeurs_Entrées,Capital,""), "")</f>
        <v/>
      </c>
      <c r="G238" s="667" t="str">
        <f>IFERROR(IF(Prêt_Non_Payé*Valeurs_Entrées,Intérêts,""), "")</f>
        <v/>
      </c>
      <c r="H238" s="667" t="str">
        <f>IFERROR(IF(Prêt_Non_Payé*Valeurs_Entrées,Solde_Final,""), "")</f>
        <v/>
      </c>
    </row>
    <row r="239" spans="2:8" x14ac:dyDescent="0.2">
      <c r="B239" s="665" t="str">
        <f>IFERROR(IF(Prêt_Non_Payé*Valeurs_Entrées,Numéro_Paiement,""), "")</f>
        <v/>
      </c>
      <c r="C239" s="666" t="str">
        <f>IFERROR(IF(Prêt_Non_Payé*Valeurs_Entrées,Date_Paiement,""), "")</f>
        <v/>
      </c>
      <c r="D239" s="667" t="str">
        <f>IFERROR(IF(Prêt_Non_Payé*Valeurs_Entrées,Solde_Départ,""), "")</f>
        <v/>
      </c>
      <c r="E239" s="667" t="str">
        <f>IFERROR(IF(Prêt_Non_Payé*Valeurs_Entrées,Mensualité,""), "")</f>
        <v/>
      </c>
      <c r="F239" s="667" t="str">
        <f>IFERROR(IF(Prêt_Non_Payé*Valeurs_Entrées,Capital,""), "")</f>
        <v/>
      </c>
      <c r="G239" s="667" t="str">
        <f>IFERROR(IF(Prêt_Non_Payé*Valeurs_Entrées,Intérêts,""), "")</f>
        <v/>
      </c>
      <c r="H239" s="667" t="str">
        <f>IFERROR(IF(Prêt_Non_Payé*Valeurs_Entrées,Solde_Final,""), "")</f>
        <v/>
      </c>
    </row>
    <row r="240" spans="2:8" x14ac:dyDescent="0.2">
      <c r="B240" s="665" t="str">
        <f>IFERROR(IF(Prêt_Non_Payé*Valeurs_Entrées,Numéro_Paiement,""), "")</f>
        <v/>
      </c>
      <c r="C240" s="666" t="str">
        <f>IFERROR(IF(Prêt_Non_Payé*Valeurs_Entrées,Date_Paiement,""), "")</f>
        <v/>
      </c>
      <c r="D240" s="667" t="str">
        <f>IFERROR(IF(Prêt_Non_Payé*Valeurs_Entrées,Solde_Départ,""), "")</f>
        <v/>
      </c>
      <c r="E240" s="667" t="str">
        <f>IFERROR(IF(Prêt_Non_Payé*Valeurs_Entrées,Mensualité,""), "")</f>
        <v/>
      </c>
      <c r="F240" s="667" t="str">
        <f>IFERROR(IF(Prêt_Non_Payé*Valeurs_Entrées,Capital,""), "")</f>
        <v/>
      </c>
      <c r="G240" s="667" t="str">
        <f>IFERROR(IF(Prêt_Non_Payé*Valeurs_Entrées,Intérêts,""), "")</f>
        <v/>
      </c>
      <c r="H240" s="667" t="str">
        <f>IFERROR(IF(Prêt_Non_Payé*Valeurs_Entrées,Solde_Final,""), "")</f>
        <v/>
      </c>
    </row>
    <row r="241" spans="2:8" x14ac:dyDescent="0.2">
      <c r="B241" s="665" t="str">
        <f>IFERROR(IF(Prêt_Non_Payé*Valeurs_Entrées,Numéro_Paiement,""), "")</f>
        <v/>
      </c>
      <c r="C241" s="666" t="str">
        <f>IFERROR(IF(Prêt_Non_Payé*Valeurs_Entrées,Date_Paiement,""), "")</f>
        <v/>
      </c>
      <c r="D241" s="667" t="str">
        <f>IFERROR(IF(Prêt_Non_Payé*Valeurs_Entrées,Solde_Départ,""), "")</f>
        <v/>
      </c>
      <c r="E241" s="667" t="str">
        <f>IFERROR(IF(Prêt_Non_Payé*Valeurs_Entrées,Mensualité,""), "")</f>
        <v/>
      </c>
      <c r="F241" s="667" t="str">
        <f>IFERROR(IF(Prêt_Non_Payé*Valeurs_Entrées,Capital,""), "")</f>
        <v/>
      </c>
      <c r="G241" s="667" t="str">
        <f>IFERROR(IF(Prêt_Non_Payé*Valeurs_Entrées,Intérêts,""), "")</f>
        <v/>
      </c>
      <c r="H241" s="667" t="str">
        <f>IFERROR(IF(Prêt_Non_Payé*Valeurs_Entrées,Solde_Final,""), "")</f>
        <v/>
      </c>
    </row>
    <row r="242" spans="2:8" x14ac:dyDescent="0.2">
      <c r="B242" s="665" t="str">
        <f>IFERROR(IF(Prêt_Non_Payé*Valeurs_Entrées,Numéro_Paiement,""), "")</f>
        <v/>
      </c>
      <c r="C242" s="666" t="str">
        <f>IFERROR(IF(Prêt_Non_Payé*Valeurs_Entrées,Date_Paiement,""), "")</f>
        <v/>
      </c>
      <c r="D242" s="667" t="str">
        <f>IFERROR(IF(Prêt_Non_Payé*Valeurs_Entrées,Solde_Départ,""), "")</f>
        <v/>
      </c>
      <c r="E242" s="667" t="str">
        <f>IFERROR(IF(Prêt_Non_Payé*Valeurs_Entrées,Mensualité,""), "")</f>
        <v/>
      </c>
      <c r="F242" s="667" t="str">
        <f>IFERROR(IF(Prêt_Non_Payé*Valeurs_Entrées,Capital,""), "")</f>
        <v/>
      </c>
      <c r="G242" s="667" t="str">
        <f>IFERROR(IF(Prêt_Non_Payé*Valeurs_Entrées,Intérêts,""), "")</f>
        <v/>
      </c>
      <c r="H242" s="667" t="str">
        <f>IFERROR(IF(Prêt_Non_Payé*Valeurs_Entrées,Solde_Final,""), "")</f>
        <v/>
      </c>
    </row>
    <row r="243" spans="2:8" x14ac:dyDescent="0.2">
      <c r="B243" s="665" t="str">
        <f>IFERROR(IF(Prêt_Non_Payé*Valeurs_Entrées,Numéro_Paiement,""), "")</f>
        <v/>
      </c>
      <c r="C243" s="666" t="str">
        <f>IFERROR(IF(Prêt_Non_Payé*Valeurs_Entrées,Date_Paiement,""), "")</f>
        <v/>
      </c>
      <c r="D243" s="667" t="str">
        <f>IFERROR(IF(Prêt_Non_Payé*Valeurs_Entrées,Solde_Départ,""), "")</f>
        <v/>
      </c>
      <c r="E243" s="667" t="str">
        <f>IFERROR(IF(Prêt_Non_Payé*Valeurs_Entrées,Mensualité,""), "")</f>
        <v/>
      </c>
      <c r="F243" s="667" t="str">
        <f>IFERROR(IF(Prêt_Non_Payé*Valeurs_Entrées,Capital,""), "")</f>
        <v/>
      </c>
      <c r="G243" s="667" t="str">
        <f>IFERROR(IF(Prêt_Non_Payé*Valeurs_Entrées,Intérêts,""), "")</f>
        <v/>
      </c>
      <c r="H243" s="667" t="str">
        <f>IFERROR(IF(Prêt_Non_Payé*Valeurs_Entrées,Solde_Final,""), "")</f>
        <v/>
      </c>
    </row>
    <row r="244" spans="2:8" x14ac:dyDescent="0.2">
      <c r="B244" s="665" t="str">
        <f>IFERROR(IF(Prêt_Non_Payé*Valeurs_Entrées,Numéro_Paiement,""), "")</f>
        <v/>
      </c>
      <c r="C244" s="666" t="str">
        <f>IFERROR(IF(Prêt_Non_Payé*Valeurs_Entrées,Date_Paiement,""), "")</f>
        <v/>
      </c>
      <c r="D244" s="667" t="str">
        <f>IFERROR(IF(Prêt_Non_Payé*Valeurs_Entrées,Solde_Départ,""), "")</f>
        <v/>
      </c>
      <c r="E244" s="667" t="str">
        <f>IFERROR(IF(Prêt_Non_Payé*Valeurs_Entrées,Mensualité,""), "")</f>
        <v/>
      </c>
      <c r="F244" s="667" t="str">
        <f>IFERROR(IF(Prêt_Non_Payé*Valeurs_Entrées,Capital,""), "")</f>
        <v/>
      </c>
      <c r="G244" s="667" t="str">
        <f>IFERROR(IF(Prêt_Non_Payé*Valeurs_Entrées,Intérêts,""), "")</f>
        <v/>
      </c>
      <c r="H244" s="667" t="str">
        <f>IFERROR(IF(Prêt_Non_Payé*Valeurs_Entrées,Solde_Final,""), "")</f>
        <v/>
      </c>
    </row>
    <row r="245" spans="2:8" x14ac:dyDescent="0.2">
      <c r="B245" s="665" t="str">
        <f>IFERROR(IF(Prêt_Non_Payé*Valeurs_Entrées,Numéro_Paiement,""), "")</f>
        <v/>
      </c>
      <c r="C245" s="666" t="str">
        <f>IFERROR(IF(Prêt_Non_Payé*Valeurs_Entrées,Date_Paiement,""), "")</f>
        <v/>
      </c>
      <c r="D245" s="667" t="str">
        <f>IFERROR(IF(Prêt_Non_Payé*Valeurs_Entrées,Solde_Départ,""), "")</f>
        <v/>
      </c>
      <c r="E245" s="667" t="str">
        <f>IFERROR(IF(Prêt_Non_Payé*Valeurs_Entrées,Mensualité,""), "")</f>
        <v/>
      </c>
      <c r="F245" s="667" t="str">
        <f>IFERROR(IF(Prêt_Non_Payé*Valeurs_Entrées,Capital,""), "")</f>
        <v/>
      </c>
      <c r="G245" s="667" t="str">
        <f>IFERROR(IF(Prêt_Non_Payé*Valeurs_Entrées,Intérêts,""), "")</f>
        <v/>
      </c>
      <c r="H245" s="667" t="str">
        <f>IFERROR(IF(Prêt_Non_Payé*Valeurs_Entrées,Solde_Final,""), "")</f>
        <v/>
      </c>
    </row>
    <row r="246" spans="2:8" x14ac:dyDescent="0.2">
      <c r="B246" s="665" t="str">
        <f>IFERROR(IF(Prêt_Non_Payé*Valeurs_Entrées,Numéro_Paiement,""), "")</f>
        <v/>
      </c>
      <c r="C246" s="666" t="str">
        <f>IFERROR(IF(Prêt_Non_Payé*Valeurs_Entrées,Date_Paiement,""), "")</f>
        <v/>
      </c>
      <c r="D246" s="667" t="str">
        <f>IFERROR(IF(Prêt_Non_Payé*Valeurs_Entrées,Solde_Départ,""), "")</f>
        <v/>
      </c>
      <c r="E246" s="667" t="str">
        <f>IFERROR(IF(Prêt_Non_Payé*Valeurs_Entrées,Mensualité,""), "")</f>
        <v/>
      </c>
      <c r="F246" s="667" t="str">
        <f>IFERROR(IF(Prêt_Non_Payé*Valeurs_Entrées,Capital,""), "")</f>
        <v/>
      </c>
      <c r="G246" s="667" t="str">
        <f>IFERROR(IF(Prêt_Non_Payé*Valeurs_Entrées,Intérêts,""), "")</f>
        <v/>
      </c>
      <c r="H246" s="667" t="str">
        <f>IFERROR(IF(Prêt_Non_Payé*Valeurs_Entrées,Solde_Final,""), "")</f>
        <v/>
      </c>
    </row>
    <row r="247" spans="2:8" x14ac:dyDescent="0.2">
      <c r="B247" s="665" t="str">
        <f>IFERROR(IF(Prêt_Non_Payé*Valeurs_Entrées,Numéro_Paiement,""), "")</f>
        <v/>
      </c>
      <c r="C247" s="666" t="str">
        <f>IFERROR(IF(Prêt_Non_Payé*Valeurs_Entrées,Date_Paiement,""), "")</f>
        <v/>
      </c>
      <c r="D247" s="667" t="str">
        <f>IFERROR(IF(Prêt_Non_Payé*Valeurs_Entrées,Solde_Départ,""), "")</f>
        <v/>
      </c>
      <c r="E247" s="667" t="str">
        <f>IFERROR(IF(Prêt_Non_Payé*Valeurs_Entrées,Mensualité,""), "")</f>
        <v/>
      </c>
      <c r="F247" s="667" t="str">
        <f>IFERROR(IF(Prêt_Non_Payé*Valeurs_Entrées,Capital,""), "")</f>
        <v/>
      </c>
      <c r="G247" s="667" t="str">
        <f>IFERROR(IF(Prêt_Non_Payé*Valeurs_Entrées,Intérêts,""), "")</f>
        <v/>
      </c>
      <c r="H247" s="667" t="str">
        <f>IFERROR(IF(Prêt_Non_Payé*Valeurs_Entrées,Solde_Final,""), "")</f>
        <v/>
      </c>
    </row>
    <row r="248" spans="2:8" x14ac:dyDescent="0.2">
      <c r="B248" s="665" t="str">
        <f>IFERROR(IF(Prêt_Non_Payé*Valeurs_Entrées,Numéro_Paiement,""), "")</f>
        <v/>
      </c>
      <c r="C248" s="666" t="str">
        <f>IFERROR(IF(Prêt_Non_Payé*Valeurs_Entrées,Date_Paiement,""), "")</f>
        <v/>
      </c>
      <c r="D248" s="667" t="str">
        <f>IFERROR(IF(Prêt_Non_Payé*Valeurs_Entrées,Solde_Départ,""), "")</f>
        <v/>
      </c>
      <c r="E248" s="667" t="str">
        <f>IFERROR(IF(Prêt_Non_Payé*Valeurs_Entrées,Mensualité,""), "")</f>
        <v/>
      </c>
      <c r="F248" s="667" t="str">
        <f>IFERROR(IF(Prêt_Non_Payé*Valeurs_Entrées,Capital,""), "")</f>
        <v/>
      </c>
      <c r="G248" s="667" t="str">
        <f>IFERROR(IF(Prêt_Non_Payé*Valeurs_Entrées,Intérêts,""), "")</f>
        <v/>
      </c>
      <c r="H248" s="667" t="str">
        <f>IFERROR(IF(Prêt_Non_Payé*Valeurs_Entrées,Solde_Final,""), "")</f>
        <v/>
      </c>
    </row>
    <row r="249" spans="2:8" x14ac:dyDescent="0.2">
      <c r="B249" s="665" t="str">
        <f>IFERROR(IF(Prêt_Non_Payé*Valeurs_Entrées,Numéro_Paiement,""), "")</f>
        <v/>
      </c>
      <c r="C249" s="666" t="str">
        <f>IFERROR(IF(Prêt_Non_Payé*Valeurs_Entrées,Date_Paiement,""), "")</f>
        <v/>
      </c>
      <c r="D249" s="667" t="str">
        <f>IFERROR(IF(Prêt_Non_Payé*Valeurs_Entrées,Solde_Départ,""), "")</f>
        <v/>
      </c>
      <c r="E249" s="667" t="str">
        <f>IFERROR(IF(Prêt_Non_Payé*Valeurs_Entrées,Mensualité,""), "")</f>
        <v/>
      </c>
      <c r="F249" s="667" t="str">
        <f>IFERROR(IF(Prêt_Non_Payé*Valeurs_Entrées,Capital,""), "")</f>
        <v/>
      </c>
      <c r="G249" s="667" t="str">
        <f>IFERROR(IF(Prêt_Non_Payé*Valeurs_Entrées,Intérêts,""), "")</f>
        <v/>
      </c>
      <c r="H249" s="667" t="str">
        <f>IFERROR(IF(Prêt_Non_Payé*Valeurs_Entrées,Solde_Final,""), "")</f>
        <v/>
      </c>
    </row>
    <row r="250" spans="2:8" x14ac:dyDescent="0.2">
      <c r="B250" s="665" t="str">
        <f>IFERROR(IF(Prêt_Non_Payé*Valeurs_Entrées,Numéro_Paiement,""), "")</f>
        <v/>
      </c>
      <c r="C250" s="666" t="str">
        <f>IFERROR(IF(Prêt_Non_Payé*Valeurs_Entrées,Date_Paiement,""), "")</f>
        <v/>
      </c>
      <c r="D250" s="667" t="str">
        <f>IFERROR(IF(Prêt_Non_Payé*Valeurs_Entrées,Solde_Départ,""), "")</f>
        <v/>
      </c>
      <c r="E250" s="667" t="str">
        <f>IFERROR(IF(Prêt_Non_Payé*Valeurs_Entrées,Mensualité,""), "")</f>
        <v/>
      </c>
      <c r="F250" s="667" t="str">
        <f>IFERROR(IF(Prêt_Non_Payé*Valeurs_Entrées,Capital,""), "")</f>
        <v/>
      </c>
      <c r="G250" s="667" t="str">
        <f>IFERROR(IF(Prêt_Non_Payé*Valeurs_Entrées,Intérêts,""), "")</f>
        <v/>
      </c>
      <c r="H250" s="667" t="str">
        <f>IFERROR(IF(Prêt_Non_Payé*Valeurs_Entrées,Solde_Final,""), "")</f>
        <v/>
      </c>
    </row>
    <row r="251" spans="2:8" x14ac:dyDescent="0.2">
      <c r="B251" s="665" t="str">
        <f>IFERROR(IF(Prêt_Non_Payé*Valeurs_Entrées,Numéro_Paiement,""), "")</f>
        <v/>
      </c>
      <c r="C251" s="666" t="str">
        <f>IFERROR(IF(Prêt_Non_Payé*Valeurs_Entrées,Date_Paiement,""), "")</f>
        <v/>
      </c>
      <c r="D251" s="667" t="str">
        <f>IFERROR(IF(Prêt_Non_Payé*Valeurs_Entrées,Solde_Départ,""), "")</f>
        <v/>
      </c>
      <c r="E251" s="667" t="str">
        <f>IFERROR(IF(Prêt_Non_Payé*Valeurs_Entrées,Mensualité,""), "")</f>
        <v/>
      </c>
      <c r="F251" s="667" t="str">
        <f>IFERROR(IF(Prêt_Non_Payé*Valeurs_Entrées,Capital,""), "")</f>
        <v/>
      </c>
      <c r="G251" s="667" t="str">
        <f>IFERROR(IF(Prêt_Non_Payé*Valeurs_Entrées,Intérêts,""), "")</f>
        <v/>
      </c>
      <c r="H251" s="667" t="str">
        <f>IFERROR(IF(Prêt_Non_Payé*Valeurs_Entrées,Solde_Final,""), "")</f>
        <v/>
      </c>
    </row>
    <row r="252" spans="2:8" x14ac:dyDescent="0.2">
      <c r="B252" s="665" t="str">
        <f>IFERROR(IF(Prêt_Non_Payé*Valeurs_Entrées,Numéro_Paiement,""), "")</f>
        <v/>
      </c>
      <c r="C252" s="666" t="str">
        <f>IFERROR(IF(Prêt_Non_Payé*Valeurs_Entrées,Date_Paiement,""), "")</f>
        <v/>
      </c>
      <c r="D252" s="667" t="str">
        <f>IFERROR(IF(Prêt_Non_Payé*Valeurs_Entrées,Solde_Départ,""), "")</f>
        <v/>
      </c>
      <c r="E252" s="667" t="str">
        <f>IFERROR(IF(Prêt_Non_Payé*Valeurs_Entrées,Mensualité,""), "")</f>
        <v/>
      </c>
      <c r="F252" s="667" t="str">
        <f>IFERROR(IF(Prêt_Non_Payé*Valeurs_Entrées,Capital,""), "")</f>
        <v/>
      </c>
      <c r="G252" s="667" t="str">
        <f>IFERROR(IF(Prêt_Non_Payé*Valeurs_Entrées,Intérêts,""), "")</f>
        <v/>
      </c>
      <c r="H252" s="667" t="str">
        <f>IFERROR(IF(Prêt_Non_Payé*Valeurs_Entrées,Solde_Final,""), "")</f>
        <v/>
      </c>
    </row>
    <row r="253" spans="2:8" x14ac:dyDescent="0.2">
      <c r="B253" s="665" t="str">
        <f>IFERROR(IF(Prêt_Non_Payé*Valeurs_Entrées,Numéro_Paiement,""), "")</f>
        <v/>
      </c>
      <c r="C253" s="666" t="str">
        <f>IFERROR(IF(Prêt_Non_Payé*Valeurs_Entrées,Date_Paiement,""), "")</f>
        <v/>
      </c>
      <c r="D253" s="667" t="str">
        <f>IFERROR(IF(Prêt_Non_Payé*Valeurs_Entrées,Solde_Départ,""), "")</f>
        <v/>
      </c>
      <c r="E253" s="667" t="str">
        <f>IFERROR(IF(Prêt_Non_Payé*Valeurs_Entrées,Mensualité,""), "")</f>
        <v/>
      </c>
      <c r="F253" s="667" t="str">
        <f>IFERROR(IF(Prêt_Non_Payé*Valeurs_Entrées,Capital,""), "")</f>
        <v/>
      </c>
      <c r="G253" s="667" t="str">
        <f>IFERROR(IF(Prêt_Non_Payé*Valeurs_Entrées,Intérêts,""), "")</f>
        <v/>
      </c>
      <c r="H253" s="667" t="str">
        <f>IFERROR(IF(Prêt_Non_Payé*Valeurs_Entrées,Solde_Final,""), "")</f>
        <v/>
      </c>
    </row>
    <row r="254" spans="2:8" x14ac:dyDescent="0.2">
      <c r="B254" s="665" t="str">
        <f>IFERROR(IF(Prêt_Non_Payé*Valeurs_Entrées,Numéro_Paiement,""), "")</f>
        <v/>
      </c>
      <c r="C254" s="666" t="str">
        <f>IFERROR(IF(Prêt_Non_Payé*Valeurs_Entrées,Date_Paiement,""), "")</f>
        <v/>
      </c>
      <c r="D254" s="667" t="str">
        <f>IFERROR(IF(Prêt_Non_Payé*Valeurs_Entrées,Solde_Départ,""), "")</f>
        <v/>
      </c>
      <c r="E254" s="667" t="str">
        <f>IFERROR(IF(Prêt_Non_Payé*Valeurs_Entrées,Mensualité,""), "")</f>
        <v/>
      </c>
      <c r="F254" s="667" t="str">
        <f>IFERROR(IF(Prêt_Non_Payé*Valeurs_Entrées,Capital,""), "")</f>
        <v/>
      </c>
      <c r="G254" s="667" t="str">
        <f>IFERROR(IF(Prêt_Non_Payé*Valeurs_Entrées,Intérêts,""), "")</f>
        <v/>
      </c>
      <c r="H254" s="667" t="str">
        <f>IFERROR(IF(Prêt_Non_Payé*Valeurs_Entrées,Solde_Final,""), "")</f>
        <v/>
      </c>
    </row>
    <row r="255" spans="2:8" x14ac:dyDescent="0.2">
      <c r="B255" s="665" t="str">
        <f>IFERROR(IF(Prêt_Non_Payé*Valeurs_Entrées,Numéro_Paiement,""), "")</f>
        <v/>
      </c>
      <c r="C255" s="666" t="str">
        <f>IFERROR(IF(Prêt_Non_Payé*Valeurs_Entrées,Date_Paiement,""), "")</f>
        <v/>
      </c>
      <c r="D255" s="667" t="str">
        <f>IFERROR(IF(Prêt_Non_Payé*Valeurs_Entrées,Solde_Départ,""), "")</f>
        <v/>
      </c>
      <c r="E255" s="667" t="str">
        <f>IFERROR(IF(Prêt_Non_Payé*Valeurs_Entrées,Mensualité,""), "")</f>
        <v/>
      </c>
      <c r="F255" s="667" t="str">
        <f>IFERROR(IF(Prêt_Non_Payé*Valeurs_Entrées,Capital,""), "")</f>
        <v/>
      </c>
      <c r="G255" s="667" t="str">
        <f>IFERROR(IF(Prêt_Non_Payé*Valeurs_Entrées,Intérêts,""), "")</f>
        <v/>
      </c>
      <c r="H255" s="667" t="str">
        <f>IFERROR(IF(Prêt_Non_Payé*Valeurs_Entrées,Solde_Final,""), "")</f>
        <v/>
      </c>
    </row>
    <row r="256" spans="2:8" x14ac:dyDescent="0.2">
      <c r="B256" s="665" t="str">
        <f>IFERROR(IF(Prêt_Non_Payé*Valeurs_Entrées,Numéro_Paiement,""), "")</f>
        <v/>
      </c>
      <c r="C256" s="666" t="str">
        <f>IFERROR(IF(Prêt_Non_Payé*Valeurs_Entrées,Date_Paiement,""), "")</f>
        <v/>
      </c>
      <c r="D256" s="667" t="str">
        <f>IFERROR(IF(Prêt_Non_Payé*Valeurs_Entrées,Solde_Départ,""), "")</f>
        <v/>
      </c>
      <c r="E256" s="667" t="str">
        <f>IFERROR(IF(Prêt_Non_Payé*Valeurs_Entrées,Mensualité,""), "")</f>
        <v/>
      </c>
      <c r="F256" s="667" t="str">
        <f>IFERROR(IF(Prêt_Non_Payé*Valeurs_Entrées,Capital,""), "")</f>
        <v/>
      </c>
      <c r="G256" s="667" t="str">
        <f>IFERROR(IF(Prêt_Non_Payé*Valeurs_Entrées,Intérêts,""), "")</f>
        <v/>
      </c>
      <c r="H256" s="667" t="str">
        <f>IFERROR(IF(Prêt_Non_Payé*Valeurs_Entrées,Solde_Final,""), "")</f>
        <v/>
      </c>
    </row>
    <row r="257" spans="2:8" x14ac:dyDescent="0.2">
      <c r="B257" s="665" t="str">
        <f>IFERROR(IF(Prêt_Non_Payé*Valeurs_Entrées,Numéro_Paiement,""), "")</f>
        <v/>
      </c>
      <c r="C257" s="666" t="str">
        <f>IFERROR(IF(Prêt_Non_Payé*Valeurs_Entrées,Date_Paiement,""), "")</f>
        <v/>
      </c>
      <c r="D257" s="667" t="str">
        <f>IFERROR(IF(Prêt_Non_Payé*Valeurs_Entrées,Solde_Départ,""), "")</f>
        <v/>
      </c>
      <c r="E257" s="667" t="str">
        <f>IFERROR(IF(Prêt_Non_Payé*Valeurs_Entrées,Mensualité,""), "")</f>
        <v/>
      </c>
      <c r="F257" s="667" t="str">
        <f>IFERROR(IF(Prêt_Non_Payé*Valeurs_Entrées,Capital,""), "")</f>
        <v/>
      </c>
      <c r="G257" s="667" t="str">
        <f>IFERROR(IF(Prêt_Non_Payé*Valeurs_Entrées,Intérêts,""), "")</f>
        <v/>
      </c>
      <c r="H257" s="667" t="str">
        <f>IFERROR(IF(Prêt_Non_Payé*Valeurs_Entrées,Solde_Final,""), "")</f>
        <v/>
      </c>
    </row>
    <row r="258" spans="2:8" x14ac:dyDescent="0.2">
      <c r="B258" s="665" t="str">
        <f>IFERROR(IF(Prêt_Non_Payé*Valeurs_Entrées,Numéro_Paiement,""), "")</f>
        <v/>
      </c>
      <c r="C258" s="666" t="str">
        <f>IFERROR(IF(Prêt_Non_Payé*Valeurs_Entrées,Date_Paiement,""), "")</f>
        <v/>
      </c>
      <c r="D258" s="667" t="str">
        <f>IFERROR(IF(Prêt_Non_Payé*Valeurs_Entrées,Solde_Départ,""), "")</f>
        <v/>
      </c>
      <c r="E258" s="667" t="str">
        <f>IFERROR(IF(Prêt_Non_Payé*Valeurs_Entrées,Mensualité,""), "")</f>
        <v/>
      </c>
      <c r="F258" s="667" t="str">
        <f>IFERROR(IF(Prêt_Non_Payé*Valeurs_Entrées,Capital,""), "")</f>
        <v/>
      </c>
      <c r="G258" s="667" t="str">
        <f>IFERROR(IF(Prêt_Non_Payé*Valeurs_Entrées,Intérêts,""), "")</f>
        <v/>
      </c>
      <c r="H258" s="667" t="str">
        <f>IFERROR(IF(Prêt_Non_Payé*Valeurs_Entrées,Solde_Final,""), "")</f>
        <v/>
      </c>
    </row>
    <row r="259" spans="2:8" x14ac:dyDescent="0.2">
      <c r="B259" s="665" t="str">
        <f>IFERROR(IF(Prêt_Non_Payé*Valeurs_Entrées,Numéro_Paiement,""), "")</f>
        <v/>
      </c>
      <c r="C259" s="666" t="str">
        <f>IFERROR(IF(Prêt_Non_Payé*Valeurs_Entrées,Date_Paiement,""), "")</f>
        <v/>
      </c>
      <c r="D259" s="667" t="str">
        <f>IFERROR(IF(Prêt_Non_Payé*Valeurs_Entrées,Solde_Départ,""), "")</f>
        <v/>
      </c>
      <c r="E259" s="667" t="str">
        <f>IFERROR(IF(Prêt_Non_Payé*Valeurs_Entrées,Mensualité,""), "")</f>
        <v/>
      </c>
      <c r="F259" s="667" t="str">
        <f>IFERROR(IF(Prêt_Non_Payé*Valeurs_Entrées,Capital,""), "")</f>
        <v/>
      </c>
      <c r="G259" s="667" t="str">
        <f>IFERROR(IF(Prêt_Non_Payé*Valeurs_Entrées,Intérêts,""), "")</f>
        <v/>
      </c>
      <c r="H259" s="667" t="str">
        <f>IFERROR(IF(Prêt_Non_Payé*Valeurs_Entrées,Solde_Final,""), "")</f>
        <v/>
      </c>
    </row>
    <row r="260" spans="2:8" x14ac:dyDescent="0.2">
      <c r="B260" s="665" t="str">
        <f>IFERROR(IF(Prêt_Non_Payé*Valeurs_Entrées,Numéro_Paiement,""), "")</f>
        <v/>
      </c>
      <c r="C260" s="666" t="str">
        <f>IFERROR(IF(Prêt_Non_Payé*Valeurs_Entrées,Date_Paiement,""), "")</f>
        <v/>
      </c>
      <c r="D260" s="667" t="str">
        <f>IFERROR(IF(Prêt_Non_Payé*Valeurs_Entrées,Solde_Départ,""), "")</f>
        <v/>
      </c>
      <c r="E260" s="667" t="str">
        <f>IFERROR(IF(Prêt_Non_Payé*Valeurs_Entrées,Mensualité,""), "")</f>
        <v/>
      </c>
      <c r="F260" s="667" t="str">
        <f>IFERROR(IF(Prêt_Non_Payé*Valeurs_Entrées,Capital,""), "")</f>
        <v/>
      </c>
      <c r="G260" s="667" t="str">
        <f>IFERROR(IF(Prêt_Non_Payé*Valeurs_Entrées,Intérêts,""), "")</f>
        <v/>
      </c>
      <c r="H260" s="667" t="str">
        <f>IFERROR(IF(Prêt_Non_Payé*Valeurs_Entrées,Solde_Final,""), "")</f>
        <v/>
      </c>
    </row>
    <row r="261" spans="2:8" x14ac:dyDescent="0.2">
      <c r="B261" s="665" t="str">
        <f>IFERROR(IF(Prêt_Non_Payé*Valeurs_Entrées,Numéro_Paiement,""), "")</f>
        <v/>
      </c>
      <c r="C261" s="666" t="str">
        <f>IFERROR(IF(Prêt_Non_Payé*Valeurs_Entrées,Date_Paiement,""), "")</f>
        <v/>
      </c>
      <c r="D261" s="667" t="str">
        <f>IFERROR(IF(Prêt_Non_Payé*Valeurs_Entrées,Solde_Départ,""), "")</f>
        <v/>
      </c>
      <c r="E261" s="667" t="str">
        <f>IFERROR(IF(Prêt_Non_Payé*Valeurs_Entrées,Mensualité,""), "")</f>
        <v/>
      </c>
      <c r="F261" s="667" t="str">
        <f>IFERROR(IF(Prêt_Non_Payé*Valeurs_Entrées,Capital,""), "")</f>
        <v/>
      </c>
      <c r="G261" s="667" t="str">
        <f>IFERROR(IF(Prêt_Non_Payé*Valeurs_Entrées,Intérêts,""), "")</f>
        <v/>
      </c>
      <c r="H261" s="667" t="str">
        <f>IFERROR(IF(Prêt_Non_Payé*Valeurs_Entrées,Solde_Final,""), "")</f>
        <v/>
      </c>
    </row>
    <row r="262" spans="2:8" x14ac:dyDescent="0.2">
      <c r="B262" s="665" t="str">
        <f>IFERROR(IF(Prêt_Non_Payé*Valeurs_Entrées,Numéro_Paiement,""), "")</f>
        <v/>
      </c>
      <c r="C262" s="666" t="str">
        <f>IFERROR(IF(Prêt_Non_Payé*Valeurs_Entrées,Date_Paiement,""), "")</f>
        <v/>
      </c>
      <c r="D262" s="667" t="str">
        <f>IFERROR(IF(Prêt_Non_Payé*Valeurs_Entrées,Solde_Départ,""), "")</f>
        <v/>
      </c>
      <c r="E262" s="667" t="str">
        <f>IFERROR(IF(Prêt_Non_Payé*Valeurs_Entrées,Mensualité,""), "")</f>
        <v/>
      </c>
      <c r="F262" s="667" t="str">
        <f>IFERROR(IF(Prêt_Non_Payé*Valeurs_Entrées,Capital,""), "")</f>
        <v/>
      </c>
      <c r="G262" s="667" t="str">
        <f>IFERROR(IF(Prêt_Non_Payé*Valeurs_Entrées,Intérêts,""), "")</f>
        <v/>
      </c>
      <c r="H262" s="667" t="str">
        <f>IFERROR(IF(Prêt_Non_Payé*Valeurs_Entrées,Solde_Final,""), "")</f>
        <v/>
      </c>
    </row>
    <row r="263" spans="2:8" x14ac:dyDescent="0.2">
      <c r="B263" s="665" t="str">
        <f>IFERROR(IF(Prêt_Non_Payé*Valeurs_Entrées,Numéro_Paiement,""), "")</f>
        <v/>
      </c>
      <c r="C263" s="666" t="str">
        <f>IFERROR(IF(Prêt_Non_Payé*Valeurs_Entrées,Date_Paiement,""), "")</f>
        <v/>
      </c>
      <c r="D263" s="667" t="str">
        <f>IFERROR(IF(Prêt_Non_Payé*Valeurs_Entrées,Solde_Départ,""), "")</f>
        <v/>
      </c>
      <c r="E263" s="667" t="str">
        <f>IFERROR(IF(Prêt_Non_Payé*Valeurs_Entrées,Mensualité,""), "")</f>
        <v/>
      </c>
      <c r="F263" s="667" t="str">
        <f>IFERROR(IF(Prêt_Non_Payé*Valeurs_Entrées,Capital,""), "")</f>
        <v/>
      </c>
      <c r="G263" s="667" t="str">
        <f>IFERROR(IF(Prêt_Non_Payé*Valeurs_Entrées,Intérêts,""), "")</f>
        <v/>
      </c>
      <c r="H263" s="667" t="str">
        <f>IFERROR(IF(Prêt_Non_Payé*Valeurs_Entrées,Solde_Final,""), "")</f>
        <v/>
      </c>
    </row>
    <row r="264" spans="2:8" x14ac:dyDescent="0.2">
      <c r="B264" s="665" t="str">
        <f>IFERROR(IF(Prêt_Non_Payé*Valeurs_Entrées,Numéro_Paiement,""), "")</f>
        <v/>
      </c>
      <c r="C264" s="666" t="str">
        <f>IFERROR(IF(Prêt_Non_Payé*Valeurs_Entrées,Date_Paiement,""), "")</f>
        <v/>
      </c>
      <c r="D264" s="667" t="str">
        <f>IFERROR(IF(Prêt_Non_Payé*Valeurs_Entrées,Solde_Départ,""), "")</f>
        <v/>
      </c>
      <c r="E264" s="667" t="str">
        <f>IFERROR(IF(Prêt_Non_Payé*Valeurs_Entrées,Mensualité,""), "")</f>
        <v/>
      </c>
      <c r="F264" s="667" t="str">
        <f>IFERROR(IF(Prêt_Non_Payé*Valeurs_Entrées,Capital,""), "")</f>
        <v/>
      </c>
      <c r="G264" s="667" t="str">
        <f>IFERROR(IF(Prêt_Non_Payé*Valeurs_Entrées,Intérêts,""), "")</f>
        <v/>
      </c>
      <c r="H264" s="667" t="str">
        <f>IFERROR(IF(Prêt_Non_Payé*Valeurs_Entrées,Solde_Final,""), "")</f>
        <v/>
      </c>
    </row>
    <row r="265" spans="2:8" x14ac:dyDescent="0.2">
      <c r="B265" s="665" t="str">
        <f>IFERROR(IF(Prêt_Non_Payé*Valeurs_Entrées,Numéro_Paiement,""), "")</f>
        <v/>
      </c>
      <c r="C265" s="666" t="str">
        <f>IFERROR(IF(Prêt_Non_Payé*Valeurs_Entrées,Date_Paiement,""), "")</f>
        <v/>
      </c>
      <c r="D265" s="667" t="str">
        <f>IFERROR(IF(Prêt_Non_Payé*Valeurs_Entrées,Solde_Départ,""), "")</f>
        <v/>
      </c>
      <c r="E265" s="667" t="str">
        <f>IFERROR(IF(Prêt_Non_Payé*Valeurs_Entrées,Mensualité,""), "")</f>
        <v/>
      </c>
      <c r="F265" s="667" t="str">
        <f>IFERROR(IF(Prêt_Non_Payé*Valeurs_Entrées,Capital,""), "")</f>
        <v/>
      </c>
      <c r="G265" s="667" t="str">
        <f>IFERROR(IF(Prêt_Non_Payé*Valeurs_Entrées,Intérêts,""), "")</f>
        <v/>
      </c>
      <c r="H265" s="667" t="str">
        <f>IFERROR(IF(Prêt_Non_Payé*Valeurs_Entrées,Solde_Final,""), "")</f>
        <v/>
      </c>
    </row>
    <row r="266" spans="2:8" x14ac:dyDescent="0.2">
      <c r="B266" s="665" t="str">
        <f>IFERROR(IF(Prêt_Non_Payé*Valeurs_Entrées,Numéro_Paiement,""), "")</f>
        <v/>
      </c>
      <c r="C266" s="666" t="str">
        <f>IFERROR(IF(Prêt_Non_Payé*Valeurs_Entrées,Date_Paiement,""), "")</f>
        <v/>
      </c>
      <c r="D266" s="667" t="str">
        <f>IFERROR(IF(Prêt_Non_Payé*Valeurs_Entrées,Solde_Départ,""), "")</f>
        <v/>
      </c>
      <c r="E266" s="667" t="str">
        <f>IFERROR(IF(Prêt_Non_Payé*Valeurs_Entrées,Mensualité,""), "")</f>
        <v/>
      </c>
      <c r="F266" s="667" t="str">
        <f>IFERROR(IF(Prêt_Non_Payé*Valeurs_Entrées,Capital,""), "")</f>
        <v/>
      </c>
      <c r="G266" s="667" t="str">
        <f>IFERROR(IF(Prêt_Non_Payé*Valeurs_Entrées,Intérêts,""), "")</f>
        <v/>
      </c>
      <c r="H266" s="667" t="str">
        <f>IFERROR(IF(Prêt_Non_Payé*Valeurs_Entrées,Solde_Final,""), "")</f>
        <v/>
      </c>
    </row>
    <row r="267" spans="2:8" x14ac:dyDescent="0.2">
      <c r="B267" s="665" t="str">
        <f>IFERROR(IF(Prêt_Non_Payé*Valeurs_Entrées,Numéro_Paiement,""), "")</f>
        <v/>
      </c>
      <c r="C267" s="666" t="str">
        <f>IFERROR(IF(Prêt_Non_Payé*Valeurs_Entrées,Date_Paiement,""), "")</f>
        <v/>
      </c>
      <c r="D267" s="667" t="str">
        <f>IFERROR(IF(Prêt_Non_Payé*Valeurs_Entrées,Solde_Départ,""), "")</f>
        <v/>
      </c>
      <c r="E267" s="667" t="str">
        <f>IFERROR(IF(Prêt_Non_Payé*Valeurs_Entrées,Mensualité,""), "")</f>
        <v/>
      </c>
      <c r="F267" s="667" t="str">
        <f>IFERROR(IF(Prêt_Non_Payé*Valeurs_Entrées,Capital,""), "")</f>
        <v/>
      </c>
      <c r="G267" s="667" t="str">
        <f>IFERROR(IF(Prêt_Non_Payé*Valeurs_Entrées,Intérêts,""), "")</f>
        <v/>
      </c>
      <c r="H267" s="667" t="str">
        <f>IFERROR(IF(Prêt_Non_Payé*Valeurs_Entrées,Solde_Final,""), "")</f>
        <v/>
      </c>
    </row>
    <row r="268" spans="2:8" x14ac:dyDescent="0.2">
      <c r="B268" s="665" t="str">
        <f>IFERROR(IF(Prêt_Non_Payé*Valeurs_Entrées,Numéro_Paiement,""), "")</f>
        <v/>
      </c>
      <c r="C268" s="666" t="str">
        <f>IFERROR(IF(Prêt_Non_Payé*Valeurs_Entrées,Date_Paiement,""), "")</f>
        <v/>
      </c>
      <c r="D268" s="667" t="str">
        <f>IFERROR(IF(Prêt_Non_Payé*Valeurs_Entrées,Solde_Départ,""), "")</f>
        <v/>
      </c>
      <c r="E268" s="667" t="str">
        <f>IFERROR(IF(Prêt_Non_Payé*Valeurs_Entrées,Mensualité,""), "")</f>
        <v/>
      </c>
      <c r="F268" s="667" t="str">
        <f>IFERROR(IF(Prêt_Non_Payé*Valeurs_Entrées,Capital,""), "")</f>
        <v/>
      </c>
      <c r="G268" s="667" t="str">
        <f>IFERROR(IF(Prêt_Non_Payé*Valeurs_Entrées,Intérêts,""), "")</f>
        <v/>
      </c>
      <c r="H268" s="667" t="str">
        <f>IFERROR(IF(Prêt_Non_Payé*Valeurs_Entrées,Solde_Final,""), "")</f>
        <v/>
      </c>
    </row>
    <row r="269" spans="2:8" x14ac:dyDescent="0.2">
      <c r="B269" s="665" t="str">
        <f>IFERROR(IF(Prêt_Non_Payé*Valeurs_Entrées,Numéro_Paiement,""), "")</f>
        <v/>
      </c>
      <c r="C269" s="666" t="str">
        <f>IFERROR(IF(Prêt_Non_Payé*Valeurs_Entrées,Date_Paiement,""), "")</f>
        <v/>
      </c>
      <c r="D269" s="667" t="str">
        <f>IFERROR(IF(Prêt_Non_Payé*Valeurs_Entrées,Solde_Départ,""), "")</f>
        <v/>
      </c>
      <c r="E269" s="667" t="str">
        <f>IFERROR(IF(Prêt_Non_Payé*Valeurs_Entrées,Mensualité,""), "")</f>
        <v/>
      </c>
      <c r="F269" s="667" t="str">
        <f>IFERROR(IF(Prêt_Non_Payé*Valeurs_Entrées,Capital,""), "")</f>
        <v/>
      </c>
      <c r="G269" s="667" t="str">
        <f>IFERROR(IF(Prêt_Non_Payé*Valeurs_Entrées,Intérêts,""), "")</f>
        <v/>
      </c>
      <c r="H269" s="667" t="str">
        <f>IFERROR(IF(Prêt_Non_Payé*Valeurs_Entrées,Solde_Final,""), "")</f>
        <v/>
      </c>
    </row>
    <row r="270" spans="2:8" x14ac:dyDescent="0.2">
      <c r="B270" s="665" t="str">
        <f>IFERROR(IF(Prêt_Non_Payé*Valeurs_Entrées,Numéro_Paiement,""), "")</f>
        <v/>
      </c>
      <c r="C270" s="666" t="str">
        <f>IFERROR(IF(Prêt_Non_Payé*Valeurs_Entrées,Date_Paiement,""), "")</f>
        <v/>
      </c>
      <c r="D270" s="667" t="str">
        <f>IFERROR(IF(Prêt_Non_Payé*Valeurs_Entrées,Solde_Départ,""), "")</f>
        <v/>
      </c>
      <c r="E270" s="667" t="str">
        <f>IFERROR(IF(Prêt_Non_Payé*Valeurs_Entrées,Mensualité,""), "")</f>
        <v/>
      </c>
      <c r="F270" s="667" t="str">
        <f>IFERROR(IF(Prêt_Non_Payé*Valeurs_Entrées,Capital,""), "")</f>
        <v/>
      </c>
      <c r="G270" s="667" t="str">
        <f>IFERROR(IF(Prêt_Non_Payé*Valeurs_Entrées,Intérêts,""), "")</f>
        <v/>
      </c>
      <c r="H270" s="667" t="str">
        <f>IFERROR(IF(Prêt_Non_Payé*Valeurs_Entrées,Solde_Final,""), "")</f>
        <v/>
      </c>
    </row>
    <row r="271" spans="2:8" x14ac:dyDescent="0.2">
      <c r="B271" s="665" t="str">
        <f>IFERROR(IF(Prêt_Non_Payé*Valeurs_Entrées,Numéro_Paiement,""), "")</f>
        <v/>
      </c>
      <c r="C271" s="666" t="str">
        <f>IFERROR(IF(Prêt_Non_Payé*Valeurs_Entrées,Date_Paiement,""), "")</f>
        <v/>
      </c>
      <c r="D271" s="667" t="str">
        <f>IFERROR(IF(Prêt_Non_Payé*Valeurs_Entrées,Solde_Départ,""), "")</f>
        <v/>
      </c>
      <c r="E271" s="667" t="str">
        <f>IFERROR(IF(Prêt_Non_Payé*Valeurs_Entrées,Mensualité,""), "")</f>
        <v/>
      </c>
      <c r="F271" s="667" t="str">
        <f>IFERROR(IF(Prêt_Non_Payé*Valeurs_Entrées,Capital,""), "")</f>
        <v/>
      </c>
      <c r="G271" s="667" t="str">
        <f>IFERROR(IF(Prêt_Non_Payé*Valeurs_Entrées,Intérêts,""), "")</f>
        <v/>
      </c>
      <c r="H271" s="667" t="str">
        <f>IFERROR(IF(Prêt_Non_Payé*Valeurs_Entrées,Solde_Final,""), "")</f>
        <v/>
      </c>
    </row>
    <row r="272" spans="2:8" x14ac:dyDescent="0.2">
      <c r="B272" s="665" t="str">
        <f>IFERROR(IF(Prêt_Non_Payé*Valeurs_Entrées,Numéro_Paiement,""), "")</f>
        <v/>
      </c>
      <c r="C272" s="666" t="str">
        <f>IFERROR(IF(Prêt_Non_Payé*Valeurs_Entrées,Date_Paiement,""), "")</f>
        <v/>
      </c>
      <c r="D272" s="667" t="str">
        <f>IFERROR(IF(Prêt_Non_Payé*Valeurs_Entrées,Solde_Départ,""), "")</f>
        <v/>
      </c>
      <c r="E272" s="667" t="str">
        <f>IFERROR(IF(Prêt_Non_Payé*Valeurs_Entrées,Mensualité,""), "")</f>
        <v/>
      </c>
      <c r="F272" s="667" t="str">
        <f>IFERROR(IF(Prêt_Non_Payé*Valeurs_Entrées,Capital,""), "")</f>
        <v/>
      </c>
      <c r="G272" s="667" t="str">
        <f>IFERROR(IF(Prêt_Non_Payé*Valeurs_Entrées,Intérêts,""), "")</f>
        <v/>
      </c>
      <c r="H272" s="667" t="str">
        <f>IFERROR(IF(Prêt_Non_Payé*Valeurs_Entrées,Solde_Final,""), "")</f>
        <v/>
      </c>
    </row>
    <row r="273" spans="2:8" x14ac:dyDescent="0.2">
      <c r="B273" s="665" t="str">
        <f>IFERROR(IF(Prêt_Non_Payé*Valeurs_Entrées,Numéro_Paiement,""), "")</f>
        <v/>
      </c>
      <c r="C273" s="666" t="str">
        <f>IFERROR(IF(Prêt_Non_Payé*Valeurs_Entrées,Date_Paiement,""), "")</f>
        <v/>
      </c>
      <c r="D273" s="667" t="str">
        <f>IFERROR(IF(Prêt_Non_Payé*Valeurs_Entrées,Solde_Départ,""), "")</f>
        <v/>
      </c>
      <c r="E273" s="667" t="str">
        <f>IFERROR(IF(Prêt_Non_Payé*Valeurs_Entrées,Mensualité,""), "")</f>
        <v/>
      </c>
      <c r="F273" s="667" t="str">
        <f>IFERROR(IF(Prêt_Non_Payé*Valeurs_Entrées,Capital,""), "")</f>
        <v/>
      </c>
      <c r="G273" s="667" t="str">
        <f>IFERROR(IF(Prêt_Non_Payé*Valeurs_Entrées,Intérêts,""), "")</f>
        <v/>
      </c>
      <c r="H273" s="667" t="str">
        <f>IFERROR(IF(Prêt_Non_Payé*Valeurs_Entrées,Solde_Final,""), "")</f>
        <v/>
      </c>
    </row>
    <row r="274" spans="2:8" x14ac:dyDescent="0.2">
      <c r="B274" s="665" t="str">
        <f>IFERROR(IF(Prêt_Non_Payé*Valeurs_Entrées,Numéro_Paiement,""), "")</f>
        <v/>
      </c>
      <c r="C274" s="666" t="str">
        <f>IFERROR(IF(Prêt_Non_Payé*Valeurs_Entrées,Date_Paiement,""), "")</f>
        <v/>
      </c>
      <c r="D274" s="667" t="str">
        <f>IFERROR(IF(Prêt_Non_Payé*Valeurs_Entrées,Solde_Départ,""), "")</f>
        <v/>
      </c>
      <c r="E274" s="667" t="str">
        <f>IFERROR(IF(Prêt_Non_Payé*Valeurs_Entrées,Mensualité,""), "")</f>
        <v/>
      </c>
      <c r="F274" s="667" t="str">
        <f>IFERROR(IF(Prêt_Non_Payé*Valeurs_Entrées,Capital,""), "")</f>
        <v/>
      </c>
      <c r="G274" s="667" t="str">
        <f>IFERROR(IF(Prêt_Non_Payé*Valeurs_Entrées,Intérêts,""), "")</f>
        <v/>
      </c>
      <c r="H274" s="667" t="str">
        <f>IFERROR(IF(Prêt_Non_Payé*Valeurs_Entrées,Solde_Final,""), "")</f>
        <v/>
      </c>
    </row>
    <row r="275" spans="2:8" x14ac:dyDescent="0.2">
      <c r="B275" s="665" t="str">
        <f>IFERROR(IF(Prêt_Non_Payé*Valeurs_Entrées,Numéro_Paiement,""), "")</f>
        <v/>
      </c>
      <c r="C275" s="666" t="str">
        <f>IFERROR(IF(Prêt_Non_Payé*Valeurs_Entrées,Date_Paiement,""), "")</f>
        <v/>
      </c>
      <c r="D275" s="667" t="str">
        <f>IFERROR(IF(Prêt_Non_Payé*Valeurs_Entrées,Solde_Départ,""), "")</f>
        <v/>
      </c>
      <c r="E275" s="667" t="str">
        <f>IFERROR(IF(Prêt_Non_Payé*Valeurs_Entrées,Mensualité,""), "")</f>
        <v/>
      </c>
      <c r="F275" s="667" t="str">
        <f>IFERROR(IF(Prêt_Non_Payé*Valeurs_Entrées,Capital,""), "")</f>
        <v/>
      </c>
      <c r="G275" s="667" t="str">
        <f>IFERROR(IF(Prêt_Non_Payé*Valeurs_Entrées,Intérêts,""), "")</f>
        <v/>
      </c>
      <c r="H275" s="667" t="str">
        <f>IFERROR(IF(Prêt_Non_Payé*Valeurs_Entrées,Solde_Final,""), "")</f>
        <v/>
      </c>
    </row>
    <row r="276" spans="2:8" x14ac:dyDescent="0.2">
      <c r="B276" s="665" t="str">
        <f>IFERROR(IF(Prêt_Non_Payé*Valeurs_Entrées,Numéro_Paiement,""), "")</f>
        <v/>
      </c>
      <c r="C276" s="666" t="str">
        <f>IFERROR(IF(Prêt_Non_Payé*Valeurs_Entrées,Date_Paiement,""), "")</f>
        <v/>
      </c>
      <c r="D276" s="667" t="str">
        <f>IFERROR(IF(Prêt_Non_Payé*Valeurs_Entrées,Solde_Départ,""), "")</f>
        <v/>
      </c>
      <c r="E276" s="667" t="str">
        <f>IFERROR(IF(Prêt_Non_Payé*Valeurs_Entrées,Mensualité,""), "")</f>
        <v/>
      </c>
      <c r="F276" s="667" t="str">
        <f>IFERROR(IF(Prêt_Non_Payé*Valeurs_Entrées,Capital,""), "")</f>
        <v/>
      </c>
      <c r="G276" s="667" t="str">
        <f>IFERROR(IF(Prêt_Non_Payé*Valeurs_Entrées,Intérêts,""), "")</f>
        <v/>
      </c>
      <c r="H276" s="667" t="str">
        <f>IFERROR(IF(Prêt_Non_Payé*Valeurs_Entrées,Solde_Final,""), "")</f>
        <v/>
      </c>
    </row>
    <row r="277" spans="2:8" x14ac:dyDescent="0.2">
      <c r="B277" s="665" t="str">
        <f>IFERROR(IF(Prêt_Non_Payé*Valeurs_Entrées,Numéro_Paiement,""), "")</f>
        <v/>
      </c>
      <c r="C277" s="666" t="str">
        <f>IFERROR(IF(Prêt_Non_Payé*Valeurs_Entrées,Date_Paiement,""), "")</f>
        <v/>
      </c>
      <c r="D277" s="667" t="str">
        <f>IFERROR(IF(Prêt_Non_Payé*Valeurs_Entrées,Solde_Départ,""), "")</f>
        <v/>
      </c>
      <c r="E277" s="667" t="str">
        <f>IFERROR(IF(Prêt_Non_Payé*Valeurs_Entrées,Mensualité,""), "")</f>
        <v/>
      </c>
      <c r="F277" s="667" t="str">
        <f>IFERROR(IF(Prêt_Non_Payé*Valeurs_Entrées,Capital,""), "")</f>
        <v/>
      </c>
      <c r="G277" s="667" t="str">
        <f>IFERROR(IF(Prêt_Non_Payé*Valeurs_Entrées,Intérêts,""), "")</f>
        <v/>
      </c>
      <c r="H277" s="667" t="str">
        <f>IFERROR(IF(Prêt_Non_Payé*Valeurs_Entrées,Solde_Final,""), "")</f>
        <v/>
      </c>
    </row>
    <row r="278" spans="2:8" x14ac:dyDescent="0.2">
      <c r="B278" s="665" t="str">
        <f>IFERROR(IF(Prêt_Non_Payé*Valeurs_Entrées,Numéro_Paiement,""), "")</f>
        <v/>
      </c>
      <c r="C278" s="666" t="str">
        <f>IFERROR(IF(Prêt_Non_Payé*Valeurs_Entrées,Date_Paiement,""), "")</f>
        <v/>
      </c>
      <c r="D278" s="667" t="str">
        <f>IFERROR(IF(Prêt_Non_Payé*Valeurs_Entrées,Solde_Départ,""), "")</f>
        <v/>
      </c>
      <c r="E278" s="667" t="str">
        <f>IFERROR(IF(Prêt_Non_Payé*Valeurs_Entrées,Mensualité,""), "")</f>
        <v/>
      </c>
      <c r="F278" s="667" t="str">
        <f>IFERROR(IF(Prêt_Non_Payé*Valeurs_Entrées,Capital,""), "")</f>
        <v/>
      </c>
      <c r="G278" s="667" t="str">
        <f>IFERROR(IF(Prêt_Non_Payé*Valeurs_Entrées,Intérêts,""), "")</f>
        <v/>
      </c>
      <c r="H278" s="667" t="str">
        <f>IFERROR(IF(Prêt_Non_Payé*Valeurs_Entrées,Solde_Final,""), "")</f>
        <v/>
      </c>
    </row>
    <row r="279" spans="2:8" x14ac:dyDescent="0.2">
      <c r="B279" s="665" t="str">
        <f>IFERROR(IF(Prêt_Non_Payé*Valeurs_Entrées,Numéro_Paiement,""), "")</f>
        <v/>
      </c>
      <c r="C279" s="666" t="str">
        <f>IFERROR(IF(Prêt_Non_Payé*Valeurs_Entrées,Date_Paiement,""), "")</f>
        <v/>
      </c>
      <c r="D279" s="667" t="str">
        <f>IFERROR(IF(Prêt_Non_Payé*Valeurs_Entrées,Solde_Départ,""), "")</f>
        <v/>
      </c>
      <c r="E279" s="667" t="str">
        <f>IFERROR(IF(Prêt_Non_Payé*Valeurs_Entrées,Mensualité,""), "")</f>
        <v/>
      </c>
      <c r="F279" s="667" t="str">
        <f>IFERROR(IF(Prêt_Non_Payé*Valeurs_Entrées,Capital,""), "")</f>
        <v/>
      </c>
      <c r="G279" s="667" t="str">
        <f>IFERROR(IF(Prêt_Non_Payé*Valeurs_Entrées,Intérêts,""), "")</f>
        <v/>
      </c>
      <c r="H279" s="667" t="str">
        <f>IFERROR(IF(Prêt_Non_Payé*Valeurs_Entrées,Solde_Final,""), "")</f>
        <v/>
      </c>
    </row>
    <row r="280" spans="2:8" x14ac:dyDescent="0.2">
      <c r="B280" s="665" t="str">
        <f>IFERROR(IF(Prêt_Non_Payé*Valeurs_Entrées,Numéro_Paiement,""), "")</f>
        <v/>
      </c>
      <c r="C280" s="666" t="str">
        <f>IFERROR(IF(Prêt_Non_Payé*Valeurs_Entrées,Date_Paiement,""), "")</f>
        <v/>
      </c>
      <c r="D280" s="667" t="str">
        <f>IFERROR(IF(Prêt_Non_Payé*Valeurs_Entrées,Solde_Départ,""), "")</f>
        <v/>
      </c>
      <c r="E280" s="667" t="str">
        <f>IFERROR(IF(Prêt_Non_Payé*Valeurs_Entrées,Mensualité,""), "")</f>
        <v/>
      </c>
      <c r="F280" s="667" t="str">
        <f>IFERROR(IF(Prêt_Non_Payé*Valeurs_Entrées,Capital,""), "")</f>
        <v/>
      </c>
      <c r="G280" s="667" t="str">
        <f>IFERROR(IF(Prêt_Non_Payé*Valeurs_Entrées,Intérêts,""), "")</f>
        <v/>
      </c>
      <c r="H280" s="667" t="str">
        <f>IFERROR(IF(Prêt_Non_Payé*Valeurs_Entrées,Solde_Final,""), "")</f>
        <v/>
      </c>
    </row>
    <row r="281" spans="2:8" x14ac:dyDescent="0.2">
      <c r="B281" s="665" t="str">
        <f>IFERROR(IF(Prêt_Non_Payé*Valeurs_Entrées,Numéro_Paiement,""), "")</f>
        <v/>
      </c>
      <c r="C281" s="666" t="str">
        <f>IFERROR(IF(Prêt_Non_Payé*Valeurs_Entrées,Date_Paiement,""), "")</f>
        <v/>
      </c>
      <c r="D281" s="667" t="str">
        <f>IFERROR(IF(Prêt_Non_Payé*Valeurs_Entrées,Solde_Départ,""), "")</f>
        <v/>
      </c>
      <c r="E281" s="667" t="str">
        <f>IFERROR(IF(Prêt_Non_Payé*Valeurs_Entrées,Mensualité,""), "")</f>
        <v/>
      </c>
      <c r="F281" s="667" t="str">
        <f>IFERROR(IF(Prêt_Non_Payé*Valeurs_Entrées,Capital,""), "")</f>
        <v/>
      </c>
      <c r="G281" s="667" t="str">
        <f>IFERROR(IF(Prêt_Non_Payé*Valeurs_Entrées,Intérêts,""), "")</f>
        <v/>
      </c>
      <c r="H281" s="667" t="str">
        <f>IFERROR(IF(Prêt_Non_Payé*Valeurs_Entrées,Solde_Final,""), "")</f>
        <v/>
      </c>
    </row>
    <row r="282" spans="2:8" x14ac:dyDescent="0.2">
      <c r="B282" s="665" t="str">
        <f>IFERROR(IF(Prêt_Non_Payé*Valeurs_Entrées,Numéro_Paiement,""), "")</f>
        <v/>
      </c>
      <c r="C282" s="666" t="str">
        <f>IFERROR(IF(Prêt_Non_Payé*Valeurs_Entrées,Date_Paiement,""), "")</f>
        <v/>
      </c>
      <c r="D282" s="667" t="str">
        <f>IFERROR(IF(Prêt_Non_Payé*Valeurs_Entrées,Solde_Départ,""), "")</f>
        <v/>
      </c>
      <c r="E282" s="667" t="str">
        <f>IFERROR(IF(Prêt_Non_Payé*Valeurs_Entrées,Mensualité,""), "")</f>
        <v/>
      </c>
      <c r="F282" s="667" t="str">
        <f>IFERROR(IF(Prêt_Non_Payé*Valeurs_Entrées,Capital,""), "")</f>
        <v/>
      </c>
      <c r="G282" s="667" t="str">
        <f>IFERROR(IF(Prêt_Non_Payé*Valeurs_Entrées,Intérêts,""), "")</f>
        <v/>
      </c>
      <c r="H282" s="667" t="str">
        <f>IFERROR(IF(Prêt_Non_Payé*Valeurs_Entrées,Solde_Final,""), "")</f>
        <v/>
      </c>
    </row>
    <row r="283" spans="2:8" x14ac:dyDescent="0.2">
      <c r="B283" s="665" t="str">
        <f>IFERROR(IF(Prêt_Non_Payé*Valeurs_Entrées,Numéro_Paiement,""), "")</f>
        <v/>
      </c>
      <c r="C283" s="666" t="str">
        <f>IFERROR(IF(Prêt_Non_Payé*Valeurs_Entrées,Date_Paiement,""), "")</f>
        <v/>
      </c>
      <c r="D283" s="667" t="str">
        <f>IFERROR(IF(Prêt_Non_Payé*Valeurs_Entrées,Solde_Départ,""), "")</f>
        <v/>
      </c>
      <c r="E283" s="667" t="str">
        <f>IFERROR(IF(Prêt_Non_Payé*Valeurs_Entrées,Mensualité,""), "")</f>
        <v/>
      </c>
      <c r="F283" s="667" t="str">
        <f>IFERROR(IF(Prêt_Non_Payé*Valeurs_Entrées,Capital,""), "")</f>
        <v/>
      </c>
      <c r="G283" s="667" t="str">
        <f>IFERROR(IF(Prêt_Non_Payé*Valeurs_Entrées,Intérêts,""), "")</f>
        <v/>
      </c>
      <c r="H283" s="667" t="str">
        <f>IFERROR(IF(Prêt_Non_Payé*Valeurs_Entrées,Solde_Final,""), "")</f>
        <v/>
      </c>
    </row>
    <row r="284" spans="2:8" x14ac:dyDescent="0.2">
      <c r="B284" s="665" t="str">
        <f>IFERROR(IF(Prêt_Non_Payé*Valeurs_Entrées,Numéro_Paiement,""), "")</f>
        <v/>
      </c>
      <c r="C284" s="666" t="str">
        <f>IFERROR(IF(Prêt_Non_Payé*Valeurs_Entrées,Date_Paiement,""), "")</f>
        <v/>
      </c>
      <c r="D284" s="667" t="str">
        <f>IFERROR(IF(Prêt_Non_Payé*Valeurs_Entrées,Solde_Départ,""), "")</f>
        <v/>
      </c>
      <c r="E284" s="667" t="str">
        <f>IFERROR(IF(Prêt_Non_Payé*Valeurs_Entrées,Mensualité,""), "")</f>
        <v/>
      </c>
      <c r="F284" s="667" t="str">
        <f>IFERROR(IF(Prêt_Non_Payé*Valeurs_Entrées,Capital,""), "")</f>
        <v/>
      </c>
      <c r="G284" s="667" t="str">
        <f>IFERROR(IF(Prêt_Non_Payé*Valeurs_Entrées,Intérêts,""), "")</f>
        <v/>
      </c>
      <c r="H284" s="667" t="str">
        <f>IFERROR(IF(Prêt_Non_Payé*Valeurs_Entrées,Solde_Final,""), "")</f>
        <v/>
      </c>
    </row>
    <row r="285" spans="2:8" x14ac:dyDescent="0.2">
      <c r="B285" s="665" t="str">
        <f>IFERROR(IF(Prêt_Non_Payé*Valeurs_Entrées,Numéro_Paiement,""), "")</f>
        <v/>
      </c>
      <c r="C285" s="666" t="str">
        <f>IFERROR(IF(Prêt_Non_Payé*Valeurs_Entrées,Date_Paiement,""), "")</f>
        <v/>
      </c>
      <c r="D285" s="667" t="str">
        <f>IFERROR(IF(Prêt_Non_Payé*Valeurs_Entrées,Solde_Départ,""), "")</f>
        <v/>
      </c>
      <c r="E285" s="667" t="str">
        <f>IFERROR(IF(Prêt_Non_Payé*Valeurs_Entrées,Mensualité,""), "")</f>
        <v/>
      </c>
      <c r="F285" s="667" t="str">
        <f>IFERROR(IF(Prêt_Non_Payé*Valeurs_Entrées,Capital,""), "")</f>
        <v/>
      </c>
      <c r="G285" s="667" t="str">
        <f>IFERROR(IF(Prêt_Non_Payé*Valeurs_Entrées,Intérêts,""), "")</f>
        <v/>
      </c>
      <c r="H285" s="667" t="str">
        <f>IFERROR(IF(Prêt_Non_Payé*Valeurs_Entrées,Solde_Final,""), "")</f>
        <v/>
      </c>
    </row>
    <row r="286" spans="2:8" x14ac:dyDescent="0.2">
      <c r="B286" s="665" t="str">
        <f>IFERROR(IF(Prêt_Non_Payé*Valeurs_Entrées,Numéro_Paiement,""), "")</f>
        <v/>
      </c>
      <c r="C286" s="666" t="str">
        <f>IFERROR(IF(Prêt_Non_Payé*Valeurs_Entrées,Date_Paiement,""), "")</f>
        <v/>
      </c>
      <c r="D286" s="667" t="str">
        <f>IFERROR(IF(Prêt_Non_Payé*Valeurs_Entrées,Solde_Départ,""), "")</f>
        <v/>
      </c>
      <c r="E286" s="667" t="str">
        <f>IFERROR(IF(Prêt_Non_Payé*Valeurs_Entrées,Mensualité,""), "")</f>
        <v/>
      </c>
      <c r="F286" s="667" t="str">
        <f>IFERROR(IF(Prêt_Non_Payé*Valeurs_Entrées,Capital,""), "")</f>
        <v/>
      </c>
      <c r="G286" s="667" t="str">
        <f>IFERROR(IF(Prêt_Non_Payé*Valeurs_Entrées,Intérêts,""), "")</f>
        <v/>
      </c>
      <c r="H286" s="667" t="str">
        <f>IFERROR(IF(Prêt_Non_Payé*Valeurs_Entrées,Solde_Final,""), "")</f>
        <v/>
      </c>
    </row>
    <row r="287" spans="2:8" x14ac:dyDescent="0.2">
      <c r="B287" s="665" t="str">
        <f>IFERROR(IF(Prêt_Non_Payé*Valeurs_Entrées,Numéro_Paiement,""), "")</f>
        <v/>
      </c>
      <c r="C287" s="666" t="str">
        <f>IFERROR(IF(Prêt_Non_Payé*Valeurs_Entrées,Date_Paiement,""), "")</f>
        <v/>
      </c>
      <c r="D287" s="667" t="str">
        <f>IFERROR(IF(Prêt_Non_Payé*Valeurs_Entrées,Solde_Départ,""), "")</f>
        <v/>
      </c>
      <c r="E287" s="667" t="str">
        <f>IFERROR(IF(Prêt_Non_Payé*Valeurs_Entrées,Mensualité,""), "")</f>
        <v/>
      </c>
      <c r="F287" s="667" t="str">
        <f>IFERROR(IF(Prêt_Non_Payé*Valeurs_Entrées,Capital,""), "")</f>
        <v/>
      </c>
      <c r="G287" s="667" t="str">
        <f>IFERROR(IF(Prêt_Non_Payé*Valeurs_Entrées,Intérêts,""), "")</f>
        <v/>
      </c>
      <c r="H287" s="667" t="str">
        <f>IFERROR(IF(Prêt_Non_Payé*Valeurs_Entrées,Solde_Final,""), "")</f>
        <v/>
      </c>
    </row>
    <row r="288" spans="2:8" x14ac:dyDescent="0.2">
      <c r="B288" s="665" t="str">
        <f>IFERROR(IF(Prêt_Non_Payé*Valeurs_Entrées,Numéro_Paiement,""), "")</f>
        <v/>
      </c>
      <c r="C288" s="666" t="str">
        <f>IFERROR(IF(Prêt_Non_Payé*Valeurs_Entrées,Date_Paiement,""), "")</f>
        <v/>
      </c>
      <c r="D288" s="667" t="str">
        <f>IFERROR(IF(Prêt_Non_Payé*Valeurs_Entrées,Solde_Départ,""), "")</f>
        <v/>
      </c>
      <c r="E288" s="667" t="str">
        <f>IFERROR(IF(Prêt_Non_Payé*Valeurs_Entrées,Mensualité,""), "")</f>
        <v/>
      </c>
      <c r="F288" s="667" t="str">
        <f>IFERROR(IF(Prêt_Non_Payé*Valeurs_Entrées,Capital,""), "")</f>
        <v/>
      </c>
      <c r="G288" s="667" t="str">
        <f>IFERROR(IF(Prêt_Non_Payé*Valeurs_Entrées,Intérêts,""), "")</f>
        <v/>
      </c>
      <c r="H288" s="667" t="str">
        <f>IFERROR(IF(Prêt_Non_Payé*Valeurs_Entrées,Solde_Final,""), "")</f>
        <v/>
      </c>
    </row>
    <row r="289" spans="2:8" x14ac:dyDescent="0.2">
      <c r="B289" s="665" t="str">
        <f>IFERROR(IF(Prêt_Non_Payé*Valeurs_Entrées,Numéro_Paiement,""), "")</f>
        <v/>
      </c>
      <c r="C289" s="666" t="str">
        <f>IFERROR(IF(Prêt_Non_Payé*Valeurs_Entrées,Date_Paiement,""), "")</f>
        <v/>
      </c>
      <c r="D289" s="667" t="str">
        <f>IFERROR(IF(Prêt_Non_Payé*Valeurs_Entrées,Solde_Départ,""), "")</f>
        <v/>
      </c>
      <c r="E289" s="667" t="str">
        <f>IFERROR(IF(Prêt_Non_Payé*Valeurs_Entrées,Mensualité,""), "")</f>
        <v/>
      </c>
      <c r="F289" s="667" t="str">
        <f>IFERROR(IF(Prêt_Non_Payé*Valeurs_Entrées,Capital,""), "")</f>
        <v/>
      </c>
      <c r="G289" s="667" t="str">
        <f>IFERROR(IF(Prêt_Non_Payé*Valeurs_Entrées,Intérêts,""), "")</f>
        <v/>
      </c>
      <c r="H289" s="667" t="str">
        <f>IFERROR(IF(Prêt_Non_Payé*Valeurs_Entrées,Solde_Final,""), "")</f>
        <v/>
      </c>
    </row>
    <row r="290" spans="2:8" x14ac:dyDescent="0.2">
      <c r="B290" s="665" t="str">
        <f>IFERROR(IF(Prêt_Non_Payé*Valeurs_Entrées,Numéro_Paiement,""), "")</f>
        <v/>
      </c>
      <c r="C290" s="666" t="str">
        <f>IFERROR(IF(Prêt_Non_Payé*Valeurs_Entrées,Date_Paiement,""), "")</f>
        <v/>
      </c>
      <c r="D290" s="667" t="str">
        <f>IFERROR(IF(Prêt_Non_Payé*Valeurs_Entrées,Solde_Départ,""), "")</f>
        <v/>
      </c>
      <c r="E290" s="667" t="str">
        <f>IFERROR(IF(Prêt_Non_Payé*Valeurs_Entrées,Mensualité,""), "")</f>
        <v/>
      </c>
      <c r="F290" s="667" t="str">
        <f>IFERROR(IF(Prêt_Non_Payé*Valeurs_Entrées,Capital,""), "")</f>
        <v/>
      </c>
      <c r="G290" s="667" t="str">
        <f>IFERROR(IF(Prêt_Non_Payé*Valeurs_Entrées,Intérêts,""), "")</f>
        <v/>
      </c>
      <c r="H290" s="667" t="str">
        <f>IFERROR(IF(Prêt_Non_Payé*Valeurs_Entrées,Solde_Final,""), "")</f>
        <v/>
      </c>
    </row>
    <row r="291" spans="2:8" x14ac:dyDescent="0.2">
      <c r="B291" s="665" t="str">
        <f>IFERROR(IF(Prêt_Non_Payé*Valeurs_Entrées,Numéro_Paiement,""), "")</f>
        <v/>
      </c>
      <c r="C291" s="666" t="str">
        <f>IFERROR(IF(Prêt_Non_Payé*Valeurs_Entrées,Date_Paiement,""), "")</f>
        <v/>
      </c>
      <c r="D291" s="667" t="str">
        <f>IFERROR(IF(Prêt_Non_Payé*Valeurs_Entrées,Solde_Départ,""), "")</f>
        <v/>
      </c>
      <c r="E291" s="667" t="str">
        <f>IFERROR(IF(Prêt_Non_Payé*Valeurs_Entrées,Mensualité,""), "")</f>
        <v/>
      </c>
      <c r="F291" s="667" t="str">
        <f>IFERROR(IF(Prêt_Non_Payé*Valeurs_Entrées,Capital,""), "")</f>
        <v/>
      </c>
      <c r="G291" s="667" t="str">
        <f>IFERROR(IF(Prêt_Non_Payé*Valeurs_Entrées,Intérêts,""), "")</f>
        <v/>
      </c>
      <c r="H291" s="667" t="str">
        <f>IFERROR(IF(Prêt_Non_Payé*Valeurs_Entrées,Solde_Final,""), "")</f>
        <v/>
      </c>
    </row>
    <row r="292" spans="2:8" x14ac:dyDescent="0.2">
      <c r="B292" s="665" t="str">
        <f>IFERROR(IF(Prêt_Non_Payé*Valeurs_Entrées,Numéro_Paiement,""), "")</f>
        <v/>
      </c>
      <c r="C292" s="666" t="str">
        <f>IFERROR(IF(Prêt_Non_Payé*Valeurs_Entrées,Date_Paiement,""), "")</f>
        <v/>
      </c>
      <c r="D292" s="667" t="str">
        <f>IFERROR(IF(Prêt_Non_Payé*Valeurs_Entrées,Solde_Départ,""), "")</f>
        <v/>
      </c>
      <c r="E292" s="667" t="str">
        <f>IFERROR(IF(Prêt_Non_Payé*Valeurs_Entrées,Mensualité,""), "")</f>
        <v/>
      </c>
      <c r="F292" s="667" t="str">
        <f>IFERROR(IF(Prêt_Non_Payé*Valeurs_Entrées,Capital,""), "")</f>
        <v/>
      </c>
      <c r="G292" s="667" t="str">
        <f>IFERROR(IF(Prêt_Non_Payé*Valeurs_Entrées,Intérêts,""), "")</f>
        <v/>
      </c>
      <c r="H292" s="667" t="str">
        <f>IFERROR(IF(Prêt_Non_Payé*Valeurs_Entrées,Solde_Final,""), "")</f>
        <v/>
      </c>
    </row>
    <row r="293" spans="2:8" x14ac:dyDescent="0.2">
      <c r="B293" s="665" t="str">
        <f>IFERROR(IF(Prêt_Non_Payé*Valeurs_Entrées,Numéro_Paiement,""), "")</f>
        <v/>
      </c>
      <c r="C293" s="666" t="str">
        <f>IFERROR(IF(Prêt_Non_Payé*Valeurs_Entrées,Date_Paiement,""), "")</f>
        <v/>
      </c>
      <c r="D293" s="667" t="str">
        <f>IFERROR(IF(Prêt_Non_Payé*Valeurs_Entrées,Solde_Départ,""), "")</f>
        <v/>
      </c>
      <c r="E293" s="667" t="str">
        <f>IFERROR(IF(Prêt_Non_Payé*Valeurs_Entrées,Mensualité,""), "")</f>
        <v/>
      </c>
      <c r="F293" s="667" t="str">
        <f>IFERROR(IF(Prêt_Non_Payé*Valeurs_Entrées,Capital,""), "")</f>
        <v/>
      </c>
      <c r="G293" s="667" t="str">
        <f>IFERROR(IF(Prêt_Non_Payé*Valeurs_Entrées,Intérêts,""), "")</f>
        <v/>
      </c>
      <c r="H293" s="667" t="str">
        <f>IFERROR(IF(Prêt_Non_Payé*Valeurs_Entrées,Solde_Final,""), "")</f>
        <v/>
      </c>
    </row>
    <row r="294" spans="2:8" x14ac:dyDescent="0.2">
      <c r="B294" s="665" t="str">
        <f>IFERROR(IF(Prêt_Non_Payé*Valeurs_Entrées,Numéro_Paiement,""), "")</f>
        <v/>
      </c>
      <c r="C294" s="666" t="str">
        <f>IFERROR(IF(Prêt_Non_Payé*Valeurs_Entrées,Date_Paiement,""), "")</f>
        <v/>
      </c>
      <c r="D294" s="667" t="str">
        <f>IFERROR(IF(Prêt_Non_Payé*Valeurs_Entrées,Solde_Départ,""), "")</f>
        <v/>
      </c>
      <c r="E294" s="667" t="str">
        <f>IFERROR(IF(Prêt_Non_Payé*Valeurs_Entrées,Mensualité,""), "")</f>
        <v/>
      </c>
      <c r="F294" s="667" t="str">
        <f>IFERROR(IF(Prêt_Non_Payé*Valeurs_Entrées,Capital,""), "")</f>
        <v/>
      </c>
      <c r="G294" s="667" t="str">
        <f>IFERROR(IF(Prêt_Non_Payé*Valeurs_Entrées,Intérêts,""), "")</f>
        <v/>
      </c>
      <c r="H294" s="667" t="str">
        <f>IFERROR(IF(Prêt_Non_Payé*Valeurs_Entrées,Solde_Final,""), "")</f>
        <v/>
      </c>
    </row>
    <row r="295" spans="2:8" x14ac:dyDescent="0.2">
      <c r="B295" s="665" t="str">
        <f>IFERROR(IF(Prêt_Non_Payé*Valeurs_Entrées,Numéro_Paiement,""), "")</f>
        <v/>
      </c>
      <c r="C295" s="666" t="str">
        <f>IFERROR(IF(Prêt_Non_Payé*Valeurs_Entrées,Date_Paiement,""), "")</f>
        <v/>
      </c>
      <c r="D295" s="667" t="str">
        <f>IFERROR(IF(Prêt_Non_Payé*Valeurs_Entrées,Solde_Départ,""), "")</f>
        <v/>
      </c>
      <c r="E295" s="667" t="str">
        <f>IFERROR(IF(Prêt_Non_Payé*Valeurs_Entrées,Mensualité,""), "")</f>
        <v/>
      </c>
      <c r="F295" s="667" t="str">
        <f>IFERROR(IF(Prêt_Non_Payé*Valeurs_Entrées,Capital,""), "")</f>
        <v/>
      </c>
      <c r="G295" s="667" t="str">
        <f>IFERROR(IF(Prêt_Non_Payé*Valeurs_Entrées,Intérêts,""), "")</f>
        <v/>
      </c>
      <c r="H295" s="667" t="str">
        <f>IFERROR(IF(Prêt_Non_Payé*Valeurs_Entrées,Solde_Final,""), "")</f>
        <v/>
      </c>
    </row>
    <row r="296" spans="2:8" x14ac:dyDescent="0.2">
      <c r="B296" s="665" t="str">
        <f>IFERROR(IF(Prêt_Non_Payé*Valeurs_Entrées,Numéro_Paiement,""), "")</f>
        <v/>
      </c>
      <c r="C296" s="666" t="str">
        <f>IFERROR(IF(Prêt_Non_Payé*Valeurs_Entrées,Date_Paiement,""), "")</f>
        <v/>
      </c>
      <c r="D296" s="667" t="str">
        <f>IFERROR(IF(Prêt_Non_Payé*Valeurs_Entrées,Solde_Départ,""), "")</f>
        <v/>
      </c>
      <c r="E296" s="667" t="str">
        <f>IFERROR(IF(Prêt_Non_Payé*Valeurs_Entrées,Mensualité,""), "")</f>
        <v/>
      </c>
      <c r="F296" s="667" t="str">
        <f>IFERROR(IF(Prêt_Non_Payé*Valeurs_Entrées,Capital,""), "")</f>
        <v/>
      </c>
      <c r="G296" s="667" t="str">
        <f>IFERROR(IF(Prêt_Non_Payé*Valeurs_Entrées,Intérêts,""), "")</f>
        <v/>
      </c>
      <c r="H296" s="667" t="str">
        <f>IFERROR(IF(Prêt_Non_Payé*Valeurs_Entrées,Solde_Final,""), "")</f>
        <v/>
      </c>
    </row>
    <row r="297" spans="2:8" x14ac:dyDescent="0.2">
      <c r="B297" s="665" t="str">
        <f>IFERROR(IF(Prêt_Non_Payé*Valeurs_Entrées,Numéro_Paiement,""), "")</f>
        <v/>
      </c>
      <c r="C297" s="666" t="str">
        <f>IFERROR(IF(Prêt_Non_Payé*Valeurs_Entrées,Date_Paiement,""), "")</f>
        <v/>
      </c>
      <c r="D297" s="667" t="str">
        <f>IFERROR(IF(Prêt_Non_Payé*Valeurs_Entrées,Solde_Départ,""), "")</f>
        <v/>
      </c>
      <c r="E297" s="667" t="str">
        <f>IFERROR(IF(Prêt_Non_Payé*Valeurs_Entrées,Mensualité,""), "")</f>
        <v/>
      </c>
      <c r="F297" s="667" t="str">
        <f>IFERROR(IF(Prêt_Non_Payé*Valeurs_Entrées,Capital,""), "")</f>
        <v/>
      </c>
      <c r="G297" s="667" t="str">
        <f>IFERROR(IF(Prêt_Non_Payé*Valeurs_Entrées,Intérêts,""), "")</f>
        <v/>
      </c>
      <c r="H297" s="667" t="str">
        <f>IFERROR(IF(Prêt_Non_Payé*Valeurs_Entrées,Solde_Final,""), "")</f>
        <v/>
      </c>
    </row>
    <row r="298" spans="2:8" x14ac:dyDescent="0.2">
      <c r="B298" s="665" t="str">
        <f>IFERROR(IF(Prêt_Non_Payé*Valeurs_Entrées,Numéro_Paiement,""), "")</f>
        <v/>
      </c>
      <c r="C298" s="666" t="str">
        <f>IFERROR(IF(Prêt_Non_Payé*Valeurs_Entrées,Date_Paiement,""), "")</f>
        <v/>
      </c>
      <c r="D298" s="667" t="str">
        <f>IFERROR(IF(Prêt_Non_Payé*Valeurs_Entrées,Solde_Départ,""), "")</f>
        <v/>
      </c>
      <c r="E298" s="667" t="str">
        <f>IFERROR(IF(Prêt_Non_Payé*Valeurs_Entrées,Mensualité,""), "")</f>
        <v/>
      </c>
      <c r="F298" s="667" t="str">
        <f>IFERROR(IF(Prêt_Non_Payé*Valeurs_Entrées,Capital,""), "")</f>
        <v/>
      </c>
      <c r="G298" s="667" t="str">
        <f>IFERROR(IF(Prêt_Non_Payé*Valeurs_Entrées,Intérêts,""), "")</f>
        <v/>
      </c>
      <c r="H298" s="667" t="str">
        <f>IFERROR(IF(Prêt_Non_Payé*Valeurs_Entrées,Solde_Final,""), "")</f>
        <v/>
      </c>
    </row>
    <row r="299" spans="2:8" x14ac:dyDescent="0.2">
      <c r="B299" s="665" t="str">
        <f>IFERROR(IF(Prêt_Non_Payé*Valeurs_Entrées,Numéro_Paiement,""), "")</f>
        <v/>
      </c>
      <c r="C299" s="666" t="str">
        <f>IFERROR(IF(Prêt_Non_Payé*Valeurs_Entrées,Date_Paiement,""), "")</f>
        <v/>
      </c>
      <c r="D299" s="667" t="str">
        <f>IFERROR(IF(Prêt_Non_Payé*Valeurs_Entrées,Solde_Départ,""), "")</f>
        <v/>
      </c>
      <c r="E299" s="667" t="str">
        <f>IFERROR(IF(Prêt_Non_Payé*Valeurs_Entrées,Mensualité,""), "")</f>
        <v/>
      </c>
      <c r="F299" s="667" t="str">
        <f>IFERROR(IF(Prêt_Non_Payé*Valeurs_Entrées,Capital,""), "")</f>
        <v/>
      </c>
      <c r="G299" s="667" t="str">
        <f>IFERROR(IF(Prêt_Non_Payé*Valeurs_Entrées,Intérêts,""), "")</f>
        <v/>
      </c>
      <c r="H299" s="667" t="str">
        <f>IFERROR(IF(Prêt_Non_Payé*Valeurs_Entrées,Solde_Final,""), "")</f>
        <v/>
      </c>
    </row>
    <row r="300" spans="2:8" x14ac:dyDescent="0.2">
      <c r="B300" s="665" t="str">
        <f>IFERROR(IF(Prêt_Non_Payé*Valeurs_Entrées,Numéro_Paiement,""), "")</f>
        <v/>
      </c>
      <c r="C300" s="666" t="str">
        <f>IFERROR(IF(Prêt_Non_Payé*Valeurs_Entrées,Date_Paiement,""), "")</f>
        <v/>
      </c>
      <c r="D300" s="667" t="str">
        <f>IFERROR(IF(Prêt_Non_Payé*Valeurs_Entrées,Solde_Départ,""), "")</f>
        <v/>
      </c>
      <c r="E300" s="667" t="str">
        <f>IFERROR(IF(Prêt_Non_Payé*Valeurs_Entrées,Mensualité,""), "")</f>
        <v/>
      </c>
      <c r="F300" s="667" t="str">
        <f>IFERROR(IF(Prêt_Non_Payé*Valeurs_Entrées,Capital,""), "")</f>
        <v/>
      </c>
      <c r="G300" s="667" t="str">
        <f>IFERROR(IF(Prêt_Non_Payé*Valeurs_Entrées,Intérêts,""), "")</f>
        <v/>
      </c>
      <c r="H300" s="667" t="str">
        <f>IFERROR(IF(Prêt_Non_Payé*Valeurs_Entrées,Solde_Final,""), "")</f>
        <v/>
      </c>
    </row>
    <row r="301" spans="2:8" x14ac:dyDescent="0.2">
      <c r="B301" s="665" t="str">
        <f>IFERROR(IF(Prêt_Non_Payé*Valeurs_Entrées,Numéro_Paiement,""), "")</f>
        <v/>
      </c>
      <c r="C301" s="666" t="str">
        <f>IFERROR(IF(Prêt_Non_Payé*Valeurs_Entrées,Date_Paiement,""), "")</f>
        <v/>
      </c>
      <c r="D301" s="667" t="str">
        <f>IFERROR(IF(Prêt_Non_Payé*Valeurs_Entrées,Solde_Départ,""), "")</f>
        <v/>
      </c>
      <c r="E301" s="667" t="str">
        <f>IFERROR(IF(Prêt_Non_Payé*Valeurs_Entrées,Mensualité,""), "")</f>
        <v/>
      </c>
      <c r="F301" s="667" t="str">
        <f>IFERROR(IF(Prêt_Non_Payé*Valeurs_Entrées,Capital,""), "")</f>
        <v/>
      </c>
      <c r="G301" s="667" t="str">
        <f>IFERROR(IF(Prêt_Non_Payé*Valeurs_Entrées,Intérêts,""), "")</f>
        <v/>
      </c>
      <c r="H301" s="667" t="str">
        <f>IFERROR(IF(Prêt_Non_Payé*Valeurs_Entrées,Solde_Final,""), "")</f>
        <v/>
      </c>
    </row>
    <row r="302" spans="2:8" x14ac:dyDescent="0.2">
      <c r="B302" s="665" t="str">
        <f>IFERROR(IF(Prêt_Non_Payé*Valeurs_Entrées,Numéro_Paiement,""), "")</f>
        <v/>
      </c>
      <c r="C302" s="666" t="str">
        <f>IFERROR(IF(Prêt_Non_Payé*Valeurs_Entrées,Date_Paiement,""), "")</f>
        <v/>
      </c>
      <c r="D302" s="667" t="str">
        <f>IFERROR(IF(Prêt_Non_Payé*Valeurs_Entrées,Solde_Départ,""), "")</f>
        <v/>
      </c>
      <c r="E302" s="667" t="str">
        <f>IFERROR(IF(Prêt_Non_Payé*Valeurs_Entrées,Mensualité,""), "")</f>
        <v/>
      </c>
      <c r="F302" s="667" t="str">
        <f>IFERROR(IF(Prêt_Non_Payé*Valeurs_Entrées,Capital,""), "")</f>
        <v/>
      </c>
      <c r="G302" s="667" t="str">
        <f>IFERROR(IF(Prêt_Non_Payé*Valeurs_Entrées,Intérêts,""), "")</f>
        <v/>
      </c>
      <c r="H302" s="667" t="str">
        <f>IFERROR(IF(Prêt_Non_Payé*Valeurs_Entrées,Solde_Final,""), "")</f>
        <v/>
      </c>
    </row>
    <row r="303" spans="2:8" x14ac:dyDescent="0.2">
      <c r="B303" s="665" t="str">
        <f>IFERROR(IF(Prêt_Non_Payé*Valeurs_Entrées,Numéro_Paiement,""), "")</f>
        <v/>
      </c>
      <c r="C303" s="666" t="str">
        <f>IFERROR(IF(Prêt_Non_Payé*Valeurs_Entrées,Date_Paiement,""), "")</f>
        <v/>
      </c>
      <c r="D303" s="667" t="str">
        <f>IFERROR(IF(Prêt_Non_Payé*Valeurs_Entrées,Solde_Départ,""), "")</f>
        <v/>
      </c>
      <c r="E303" s="667" t="str">
        <f>IFERROR(IF(Prêt_Non_Payé*Valeurs_Entrées,Mensualité,""), "")</f>
        <v/>
      </c>
      <c r="F303" s="667" t="str">
        <f>IFERROR(IF(Prêt_Non_Payé*Valeurs_Entrées,Capital,""), "")</f>
        <v/>
      </c>
      <c r="G303" s="667" t="str">
        <f>IFERROR(IF(Prêt_Non_Payé*Valeurs_Entrées,Intérêts,""), "")</f>
        <v/>
      </c>
      <c r="H303" s="667" t="str">
        <f>IFERROR(IF(Prêt_Non_Payé*Valeurs_Entrées,Solde_Final,""), "")</f>
        <v/>
      </c>
    </row>
    <row r="304" spans="2:8" x14ac:dyDescent="0.2">
      <c r="B304" s="665" t="str">
        <f>IFERROR(IF(Prêt_Non_Payé*Valeurs_Entrées,Numéro_Paiement,""), "")</f>
        <v/>
      </c>
      <c r="C304" s="666" t="str">
        <f>IFERROR(IF(Prêt_Non_Payé*Valeurs_Entrées,Date_Paiement,""), "")</f>
        <v/>
      </c>
      <c r="D304" s="667" t="str">
        <f>IFERROR(IF(Prêt_Non_Payé*Valeurs_Entrées,Solde_Départ,""), "")</f>
        <v/>
      </c>
      <c r="E304" s="667" t="str">
        <f>IFERROR(IF(Prêt_Non_Payé*Valeurs_Entrées,Mensualité,""), "")</f>
        <v/>
      </c>
      <c r="F304" s="667" t="str">
        <f>IFERROR(IF(Prêt_Non_Payé*Valeurs_Entrées,Capital,""), "")</f>
        <v/>
      </c>
      <c r="G304" s="667" t="str">
        <f>IFERROR(IF(Prêt_Non_Payé*Valeurs_Entrées,Intérêts,""), "")</f>
        <v/>
      </c>
      <c r="H304" s="667" t="str">
        <f>IFERROR(IF(Prêt_Non_Payé*Valeurs_Entrées,Solde_Final,""), "")</f>
        <v/>
      </c>
    </row>
    <row r="305" spans="2:8" x14ac:dyDescent="0.2">
      <c r="B305" s="665" t="str">
        <f>IFERROR(IF(Prêt_Non_Payé*Valeurs_Entrées,Numéro_Paiement,""), "")</f>
        <v/>
      </c>
      <c r="C305" s="666" t="str">
        <f>IFERROR(IF(Prêt_Non_Payé*Valeurs_Entrées,Date_Paiement,""), "")</f>
        <v/>
      </c>
      <c r="D305" s="667" t="str">
        <f>IFERROR(IF(Prêt_Non_Payé*Valeurs_Entrées,Solde_Départ,""), "")</f>
        <v/>
      </c>
      <c r="E305" s="667" t="str">
        <f>IFERROR(IF(Prêt_Non_Payé*Valeurs_Entrées,Mensualité,""), "")</f>
        <v/>
      </c>
      <c r="F305" s="667" t="str">
        <f>IFERROR(IF(Prêt_Non_Payé*Valeurs_Entrées,Capital,""), "")</f>
        <v/>
      </c>
      <c r="G305" s="667" t="str">
        <f>IFERROR(IF(Prêt_Non_Payé*Valeurs_Entrées,Intérêts,""), "")</f>
        <v/>
      </c>
      <c r="H305" s="667" t="str">
        <f>IFERROR(IF(Prêt_Non_Payé*Valeurs_Entrées,Solde_Final,""), "")</f>
        <v/>
      </c>
    </row>
    <row r="306" spans="2:8" x14ac:dyDescent="0.2">
      <c r="B306" s="665" t="str">
        <f>IFERROR(IF(Prêt_Non_Payé*Valeurs_Entrées,Numéro_Paiement,""), "")</f>
        <v/>
      </c>
      <c r="C306" s="666" t="str">
        <f>IFERROR(IF(Prêt_Non_Payé*Valeurs_Entrées,Date_Paiement,""), "")</f>
        <v/>
      </c>
      <c r="D306" s="667" t="str">
        <f>IFERROR(IF(Prêt_Non_Payé*Valeurs_Entrées,Solde_Départ,""), "")</f>
        <v/>
      </c>
      <c r="E306" s="667" t="str">
        <f>IFERROR(IF(Prêt_Non_Payé*Valeurs_Entrées,Mensualité,""), "")</f>
        <v/>
      </c>
      <c r="F306" s="667" t="str">
        <f>IFERROR(IF(Prêt_Non_Payé*Valeurs_Entrées,Capital,""), "")</f>
        <v/>
      </c>
      <c r="G306" s="667" t="str">
        <f>IFERROR(IF(Prêt_Non_Payé*Valeurs_Entrées,Intérêts,""), "")</f>
        <v/>
      </c>
      <c r="H306" s="667" t="str">
        <f>IFERROR(IF(Prêt_Non_Payé*Valeurs_Entrées,Solde_Final,""), "")</f>
        <v/>
      </c>
    </row>
    <row r="307" spans="2:8" x14ac:dyDescent="0.2">
      <c r="B307" s="665" t="str">
        <f>IFERROR(IF(Prêt_Non_Payé*Valeurs_Entrées,Numéro_Paiement,""), "")</f>
        <v/>
      </c>
      <c r="C307" s="666" t="str">
        <f>IFERROR(IF(Prêt_Non_Payé*Valeurs_Entrées,Date_Paiement,""), "")</f>
        <v/>
      </c>
      <c r="D307" s="667" t="str">
        <f>IFERROR(IF(Prêt_Non_Payé*Valeurs_Entrées,Solde_Départ,""), "")</f>
        <v/>
      </c>
      <c r="E307" s="667" t="str">
        <f>IFERROR(IF(Prêt_Non_Payé*Valeurs_Entrées,Mensualité,""), "")</f>
        <v/>
      </c>
      <c r="F307" s="667" t="str">
        <f>IFERROR(IF(Prêt_Non_Payé*Valeurs_Entrées,Capital,""), "")</f>
        <v/>
      </c>
      <c r="G307" s="667" t="str">
        <f>IFERROR(IF(Prêt_Non_Payé*Valeurs_Entrées,Intérêts,""), "")</f>
        <v/>
      </c>
      <c r="H307" s="667" t="str">
        <f>IFERROR(IF(Prêt_Non_Payé*Valeurs_Entrées,Solde_Final,""), "")</f>
        <v/>
      </c>
    </row>
    <row r="308" spans="2:8" x14ac:dyDescent="0.2">
      <c r="B308" s="665" t="str">
        <f>IFERROR(IF(Prêt_Non_Payé*Valeurs_Entrées,Numéro_Paiement,""), "")</f>
        <v/>
      </c>
      <c r="C308" s="666" t="str">
        <f>IFERROR(IF(Prêt_Non_Payé*Valeurs_Entrées,Date_Paiement,""), "")</f>
        <v/>
      </c>
      <c r="D308" s="667" t="str">
        <f>IFERROR(IF(Prêt_Non_Payé*Valeurs_Entrées,Solde_Départ,""), "")</f>
        <v/>
      </c>
      <c r="E308" s="667" t="str">
        <f>IFERROR(IF(Prêt_Non_Payé*Valeurs_Entrées,Mensualité,""), "")</f>
        <v/>
      </c>
      <c r="F308" s="667" t="str">
        <f>IFERROR(IF(Prêt_Non_Payé*Valeurs_Entrées,Capital,""), "")</f>
        <v/>
      </c>
      <c r="G308" s="667" t="str">
        <f>IFERROR(IF(Prêt_Non_Payé*Valeurs_Entrées,Intérêts,""), "")</f>
        <v/>
      </c>
      <c r="H308" s="667" t="str">
        <f>IFERROR(IF(Prêt_Non_Payé*Valeurs_Entrées,Solde_Final,""), "")</f>
        <v/>
      </c>
    </row>
    <row r="309" spans="2:8" x14ac:dyDescent="0.2">
      <c r="B309" s="665" t="str">
        <f>IFERROR(IF(Prêt_Non_Payé*Valeurs_Entrées,Numéro_Paiement,""), "")</f>
        <v/>
      </c>
      <c r="C309" s="666" t="str">
        <f>IFERROR(IF(Prêt_Non_Payé*Valeurs_Entrées,Date_Paiement,""), "")</f>
        <v/>
      </c>
      <c r="D309" s="667" t="str">
        <f>IFERROR(IF(Prêt_Non_Payé*Valeurs_Entrées,Solde_Départ,""), "")</f>
        <v/>
      </c>
      <c r="E309" s="667" t="str">
        <f>IFERROR(IF(Prêt_Non_Payé*Valeurs_Entrées,Mensualité,""), "")</f>
        <v/>
      </c>
      <c r="F309" s="667" t="str">
        <f>IFERROR(IF(Prêt_Non_Payé*Valeurs_Entrées,Capital,""), "")</f>
        <v/>
      </c>
      <c r="G309" s="667" t="str">
        <f>IFERROR(IF(Prêt_Non_Payé*Valeurs_Entrées,Intérêts,""), "")</f>
        <v/>
      </c>
      <c r="H309" s="667" t="str">
        <f>IFERROR(IF(Prêt_Non_Payé*Valeurs_Entrées,Solde_Final,""), "")</f>
        <v/>
      </c>
    </row>
    <row r="310" spans="2:8" x14ac:dyDescent="0.2">
      <c r="B310" s="665" t="str">
        <f>IFERROR(IF(Prêt_Non_Payé*Valeurs_Entrées,Numéro_Paiement,""), "")</f>
        <v/>
      </c>
      <c r="C310" s="666" t="str">
        <f>IFERROR(IF(Prêt_Non_Payé*Valeurs_Entrées,Date_Paiement,""), "")</f>
        <v/>
      </c>
      <c r="D310" s="667" t="str">
        <f>IFERROR(IF(Prêt_Non_Payé*Valeurs_Entrées,Solde_Départ,""), "")</f>
        <v/>
      </c>
      <c r="E310" s="667" t="str">
        <f>IFERROR(IF(Prêt_Non_Payé*Valeurs_Entrées,Mensualité,""), "")</f>
        <v/>
      </c>
      <c r="F310" s="667" t="str">
        <f>IFERROR(IF(Prêt_Non_Payé*Valeurs_Entrées,Capital,""), "")</f>
        <v/>
      </c>
      <c r="G310" s="667" t="str">
        <f>IFERROR(IF(Prêt_Non_Payé*Valeurs_Entrées,Intérêts,""), "")</f>
        <v/>
      </c>
      <c r="H310" s="667" t="str">
        <f>IFERROR(IF(Prêt_Non_Payé*Valeurs_Entrées,Solde_Final,""), "")</f>
        <v/>
      </c>
    </row>
    <row r="311" spans="2:8" x14ac:dyDescent="0.2">
      <c r="B311" s="665" t="str">
        <f>IFERROR(IF(Prêt_Non_Payé*Valeurs_Entrées,Numéro_Paiement,""), "")</f>
        <v/>
      </c>
      <c r="C311" s="666" t="str">
        <f>IFERROR(IF(Prêt_Non_Payé*Valeurs_Entrées,Date_Paiement,""), "")</f>
        <v/>
      </c>
      <c r="D311" s="667" t="str">
        <f>IFERROR(IF(Prêt_Non_Payé*Valeurs_Entrées,Solde_Départ,""), "")</f>
        <v/>
      </c>
      <c r="E311" s="667" t="str">
        <f>IFERROR(IF(Prêt_Non_Payé*Valeurs_Entrées,Mensualité,""), "")</f>
        <v/>
      </c>
      <c r="F311" s="667" t="str">
        <f>IFERROR(IF(Prêt_Non_Payé*Valeurs_Entrées,Capital,""), "")</f>
        <v/>
      </c>
      <c r="G311" s="667" t="str">
        <f>IFERROR(IF(Prêt_Non_Payé*Valeurs_Entrées,Intérêts,""), "")</f>
        <v/>
      </c>
      <c r="H311" s="667" t="str">
        <f>IFERROR(IF(Prêt_Non_Payé*Valeurs_Entrées,Solde_Final,""), "")</f>
        <v/>
      </c>
    </row>
    <row r="312" spans="2:8" x14ac:dyDescent="0.2">
      <c r="B312" s="665" t="str">
        <f>IFERROR(IF(Prêt_Non_Payé*Valeurs_Entrées,Numéro_Paiement,""), "")</f>
        <v/>
      </c>
      <c r="C312" s="666" t="str">
        <f>IFERROR(IF(Prêt_Non_Payé*Valeurs_Entrées,Date_Paiement,""), "")</f>
        <v/>
      </c>
      <c r="D312" s="667" t="str">
        <f>IFERROR(IF(Prêt_Non_Payé*Valeurs_Entrées,Solde_Départ,""), "")</f>
        <v/>
      </c>
      <c r="E312" s="667" t="str">
        <f>IFERROR(IF(Prêt_Non_Payé*Valeurs_Entrées,Mensualité,""), "")</f>
        <v/>
      </c>
      <c r="F312" s="667" t="str">
        <f>IFERROR(IF(Prêt_Non_Payé*Valeurs_Entrées,Capital,""), "")</f>
        <v/>
      </c>
      <c r="G312" s="667" t="str">
        <f>IFERROR(IF(Prêt_Non_Payé*Valeurs_Entrées,Intérêts,""), "")</f>
        <v/>
      </c>
      <c r="H312" s="667" t="str">
        <f>IFERROR(IF(Prêt_Non_Payé*Valeurs_Entrées,Solde_Final,""), "")</f>
        <v/>
      </c>
    </row>
    <row r="313" spans="2:8" x14ac:dyDescent="0.2">
      <c r="B313" s="665" t="str">
        <f>IFERROR(IF(Prêt_Non_Payé*Valeurs_Entrées,Numéro_Paiement,""), "")</f>
        <v/>
      </c>
      <c r="C313" s="666" t="str">
        <f>IFERROR(IF(Prêt_Non_Payé*Valeurs_Entrées,Date_Paiement,""), "")</f>
        <v/>
      </c>
      <c r="D313" s="667" t="str">
        <f>IFERROR(IF(Prêt_Non_Payé*Valeurs_Entrées,Solde_Départ,""), "")</f>
        <v/>
      </c>
      <c r="E313" s="667" t="str">
        <f>IFERROR(IF(Prêt_Non_Payé*Valeurs_Entrées,Mensualité,""), "")</f>
        <v/>
      </c>
      <c r="F313" s="667" t="str">
        <f>IFERROR(IF(Prêt_Non_Payé*Valeurs_Entrées,Capital,""), "")</f>
        <v/>
      </c>
      <c r="G313" s="667" t="str">
        <f>IFERROR(IF(Prêt_Non_Payé*Valeurs_Entrées,Intérêts,""), "")</f>
        <v/>
      </c>
      <c r="H313" s="667" t="str">
        <f>IFERROR(IF(Prêt_Non_Payé*Valeurs_Entrées,Solde_Final,""), "")</f>
        <v/>
      </c>
    </row>
    <row r="314" spans="2:8" x14ac:dyDescent="0.2">
      <c r="B314" s="665" t="str">
        <f>IFERROR(IF(Prêt_Non_Payé*Valeurs_Entrées,Numéro_Paiement,""), "")</f>
        <v/>
      </c>
      <c r="C314" s="666" t="str">
        <f>IFERROR(IF(Prêt_Non_Payé*Valeurs_Entrées,Date_Paiement,""), "")</f>
        <v/>
      </c>
      <c r="D314" s="667" t="str">
        <f>IFERROR(IF(Prêt_Non_Payé*Valeurs_Entrées,Solde_Départ,""), "")</f>
        <v/>
      </c>
      <c r="E314" s="667" t="str">
        <f>IFERROR(IF(Prêt_Non_Payé*Valeurs_Entrées,Mensualité,""), "")</f>
        <v/>
      </c>
      <c r="F314" s="667" t="str">
        <f>IFERROR(IF(Prêt_Non_Payé*Valeurs_Entrées,Capital,""), "")</f>
        <v/>
      </c>
      <c r="G314" s="667" t="str">
        <f>IFERROR(IF(Prêt_Non_Payé*Valeurs_Entrées,Intérêts,""), "")</f>
        <v/>
      </c>
      <c r="H314" s="667" t="str">
        <f>IFERROR(IF(Prêt_Non_Payé*Valeurs_Entrées,Solde_Final,""), "")</f>
        <v/>
      </c>
    </row>
    <row r="315" spans="2:8" x14ac:dyDescent="0.2">
      <c r="B315" s="665" t="str">
        <f>IFERROR(IF(Prêt_Non_Payé*Valeurs_Entrées,Numéro_Paiement,""), "")</f>
        <v/>
      </c>
      <c r="C315" s="666" t="str">
        <f>IFERROR(IF(Prêt_Non_Payé*Valeurs_Entrées,Date_Paiement,""), "")</f>
        <v/>
      </c>
      <c r="D315" s="667" t="str">
        <f>IFERROR(IF(Prêt_Non_Payé*Valeurs_Entrées,Solde_Départ,""), "")</f>
        <v/>
      </c>
      <c r="E315" s="667" t="str">
        <f>IFERROR(IF(Prêt_Non_Payé*Valeurs_Entrées,Mensualité,""), "")</f>
        <v/>
      </c>
      <c r="F315" s="667" t="str">
        <f>IFERROR(IF(Prêt_Non_Payé*Valeurs_Entrées,Capital,""), "")</f>
        <v/>
      </c>
      <c r="G315" s="667" t="str">
        <f>IFERROR(IF(Prêt_Non_Payé*Valeurs_Entrées,Intérêts,""), "")</f>
        <v/>
      </c>
      <c r="H315" s="667" t="str">
        <f>IFERROR(IF(Prêt_Non_Payé*Valeurs_Entrées,Solde_Final,""), "")</f>
        <v/>
      </c>
    </row>
    <row r="316" spans="2:8" x14ac:dyDescent="0.2">
      <c r="B316" s="665" t="str">
        <f>IFERROR(IF(Prêt_Non_Payé*Valeurs_Entrées,Numéro_Paiement,""), "")</f>
        <v/>
      </c>
      <c r="C316" s="666" t="str">
        <f>IFERROR(IF(Prêt_Non_Payé*Valeurs_Entrées,Date_Paiement,""), "")</f>
        <v/>
      </c>
      <c r="D316" s="667" t="str">
        <f>IFERROR(IF(Prêt_Non_Payé*Valeurs_Entrées,Solde_Départ,""), "")</f>
        <v/>
      </c>
      <c r="E316" s="667" t="str">
        <f>IFERROR(IF(Prêt_Non_Payé*Valeurs_Entrées,Mensualité,""), "")</f>
        <v/>
      </c>
      <c r="F316" s="667" t="str">
        <f>IFERROR(IF(Prêt_Non_Payé*Valeurs_Entrées,Capital,""), "")</f>
        <v/>
      </c>
      <c r="G316" s="667" t="str">
        <f>IFERROR(IF(Prêt_Non_Payé*Valeurs_Entrées,Intérêts,""), "")</f>
        <v/>
      </c>
      <c r="H316" s="667" t="str">
        <f>IFERROR(IF(Prêt_Non_Payé*Valeurs_Entrées,Solde_Final,""), "")</f>
        <v/>
      </c>
    </row>
    <row r="317" spans="2:8" x14ac:dyDescent="0.2">
      <c r="B317" s="665" t="str">
        <f>IFERROR(IF(Prêt_Non_Payé*Valeurs_Entrées,Numéro_Paiement,""), "")</f>
        <v/>
      </c>
      <c r="C317" s="666" t="str">
        <f>IFERROR(IF(Prêt_Non_Payé*Valeurs_Entrées,Date_Paiement,""), "")</f>
        <v/>
      </c>
      <c r="D317" s="667" t="str">
        <f>IFERROR(IF(Prêt_Non_Payé*Valeurs_Entrées,Solde_Départ,""), "")</f>
        <v/>
      </c>
      <c r="E317" s="667" t="str">
        <f>IFERROR(IF(Prêt_Non_Payé*Valeurs_Entrées,Mensualité,""), "")</f>
        <v/>
      </c>
      <c r="F317" s="667" t="str">
        <f>IFERROR(IF(Prêt_Non_Payé*Valeurs_Entrées,Capital,""), "")</f>
        <v/>
      </c>
      <c r="G317" s="667" t="str">
        <f>IFERROR(IF(Prêt_Non_Payé*Valeurs_Entrées,Intérêts,""), "")</f>
        <v/>
      </c>
      <c r="H317" s="667" t="str">
        <f>IFERROR(IF(Prêt_Non_Payé*Valeurs_Entrées,Solde_Final,""), "")</f>
        <v/>
      </c>
    </row>
    <row r="318" spans="2:8" x14ac:dyDescent="0.2">
      <c r="B318" s="665" t="str">
        <f>IFERROR(IF(Prêt_Non_Payé*Valeurs_Entrées,Numéro_Paiement,""), "")</f>
        <v/>
      </c>
      <c r="C318" s="666" t="str">
        <f>IFERROR(IF(Prêt_Non_Payé*Valeurs_Entrées,Date_Paiement,""), "")</f>
        <v/>
      </c>
      <c r="D318" s="667" t="str">
        <f>IFERROR(IF(Prêt_Non_Payé*Valeurs_Entrées,Solde_Départ,""), "")</f>
        <v/>
      </c>
      <c r="E318" s="667" t="str">
        <f>IFERROR(IF(Prêt_Non_Payé*Valeurs_Entrées,Mensualité,""), "")</f>
        <v/>
      </c>
      <c r="F318" s="667" t="str">
        <f>IFERROR(IF(Prêt_Non_Payé*Valeurs_Entrées,Capital,""), "")</f>
        <v/>
      </c>
      <c r="G318" s="667" t="str">
        <f>IFERROR(IF(Prêt_Non_Payé*Valeurs_Entrées,Intérêts,""), "")</f>
        <v/>
      </c>
      <c r="H318" s="667" t="str">
        <f>IFERROR(IF(Prêt_Non_Payé*Valeurs_Entrées,Solde_Final,""), "")</f>
        <v/>
      </c>
    </row>
    <row r="319" spans="2:8" x14ac:dyDescent="0.2">
      <c r="B319" s="665" t="str">
        <f>IFERROR(IF(Prêt_Non_Payé*Valeurs_Entrées,Numéro_Paiement,""), "")</f>
        <v/>
      </c>
      <c r="C319" s="666" t="str">
        <f>IFERROR(IF(Prêt_Non_Payé*Valeurs_Entrées,Date_Paiement,""), "")</f>
        <v/>
      </c>
      <c r="D319" s="667" t="str">
        <f>IFERROR(IF(Prêt_Non_Payé*Valeurs_Entrées,Solde_Départ,""), "")</f>
        <v/>
      </c>
      <c r="E319" s="667" t="str">
        <f>IFERROR(IF(Prêt_Non_Payé*Valeurs_Entrées,Mensualité,""), "")</f>
        <v/>
      </c>
      <c r="F319" s="667" t="str">
        <f>IFERROR(IF(Prêt_Non_Payé*Valeurs_Entrées,Capital,""), "")</f>
        <v/>
      </c>
      <c r="G319" s="667" t="str">
        <f>IFERROR(IF(Prêt_Non_Payé*Valeurs_Entrées,Intérêts,""), "")</f>
        <v/>
      </c>
      <c r="H319" s="667" t="str">
        <f>IFERROR(IF(Prêt_Non_Payé*Valeurs_Entrées,Solde_Final,""), "")</f>
        <v/>
      </c>
    </row>
    <row r="320" spans="2:8" x14ac:dyDescent="0.2">
      <c r="B320" s="665" t="str">
        <f>IFERROR(IF(Prêt_Non_Payé*Valeurs_Entrées,Numéro_Paiement,""), "")</f>
        <v/>
      </c>
      <c r="C320" s="666" t="str">
        <f>IFERROR(IF(Prêt_Non_Payé*Valeurs_Entrées,Date_Paiement,""), "")</f>
        <v/>
      </c>
      <c r="D320" s="667" t="str">
        <f>IFERROR(IF(Prêt_Non_Payé*Valeurs_Entrées,Solde_Départ,""), "")</f>
        <v/>
      </c>
      <c r="E320" s="667" t="str">
        <f>IFERROR(IF(Prêt_Non_Payé*Valeurs_Entrées,Mensualité,""), "")</f>
        <v/>
      </c>
      <c r="F320" s="667" t="str">
        <f>IFERROR(IF(Prêt_Non_Payé*Valeurs_Entrées,Capital,""), "")</f>
        <v/>
      </c>
      <c r="G320" s="667" t="str">
        <f>IFERROR(IF(Prêt_Non_Payé*Valeurs_Entrées,Intérêts,""), "")</f>
        <v/>
      </c>
      <c r="H320" s="667" t="str">
        <f>IFERROR(IF(Prêt_Non_Payé*Valeurs_Entrées,Solde_Final,""), "")</f>
        <v/>
      </c>
    </row>
    <row r="321" spans="2:8" x14ac:dyDescent="0.2">
      <c r="B321" s="665" t="str">
        <f>IFERROR(IF(Prêt_Non_Payé*Valeurs_Entrées,Numéro_Paiement,""), "")</f>
        <v/>
      </c>
      <c r="C321" s="666" t="str">
        <f>IFERROR(IF(Prêt_Non_Payé*Valeurs_Entrées,Date_Paiement,""), "")</f>
        <v/>
      </c>
      <c r="D321" s="667" t="str">
        <f>IFERROR(IF(Prêt_Non_Payé*Valeurs_Entrées,Solde_Départ,""), "")</f>
        <v/>
      </c>
      <c r="E321" s="667" t="str">
        <f>IFERROR(IF(Prêt_Non_Payé*Valeurs_Entrées,Mensualité,""), "")</f>
        <v/>
      </c>
      <c r="F321" s="667" t="str">
        <f>IFERROR(IF(Prêt_Non_Payé*Valeurs_Entrées,Capital,""), "")</f>
        <v/>
      </c>
      <c r="G321" s="667" t="str">
        <f>IFERROR(IF(Prêt_Non_Payé*Valeurs_Entrées,Intérêts,""), "")</f>
        <v/>
      </c>
      <c r="H321" s="667" t="str">
        <f>IFERROR(IF(Prêt_Non_Payé*Valeurs_Entrées,Solde_Final,""), "")</f>
        <v/>
      </c>
    </row>
    <row r="322" spans="2:8" x14ac:dyDescent="0.2">
      <c r="B322" s="665" t="str">
        <f>IFERROR(IF(Prêt_Non_Payé*Valeurs_Entrées,Numéro_Paiement,""), "")</f>
        <v/>
      </c>
      <c r="C322" s="666" t="str">
        <f>IFERROR(IF(Prêt_Non_Payé*Valeurs_Entrées,Date_Paiement,""), "")</f>
        <v/>
      </c>
      <c r="D322" s="667" t="str">
        <f>IFERROR(IF(Prêt_Non_Payé*Valeurs_Entrées,Solde_Départ,""), "")</f>
        <v/>
      </c>
      <c r="E322" s="667" t="str">
        <f>IFERROR(IF(Prêt_Non_Payé*Valeurs_Entrées,Mensualité,""), "")</f>
        <v/>
      </c>
      <c r="F322" s="667" t="str">
        <f>IFERROR(IF(Prêt_Non_Payé*Valeurs_Entrées,Capital,""), "")</f>
        <v/>
      </c>
      <c r="G322" s="667" t="str">
        <f>IFERROR(IF(Prêt_Non_Payé*Valeurs_Entrées,Intérêts,""), "")</f>
        <v/>
      </c>
      <c r="H322" s="667" t="str">
        <f>IFERROR(IF(Prêt_Non_Payé*Valeurs_Entrées,Solde_Final,""), "")</f>
        <v/>
      </c>
    </row>
    <row r="323" spans="2:8" x14ac:dyDescent="0.2">
      <c r="B323" s="665" t="str">
        <f>IFERROR(IF(Prêt_Non_Payé*Valeurs_Entrées,Numéro_Paiement,""), "")</f>
        <v/>
      </c>
      <c r="C323" s="666" t="str">
        <f>IFERROR(IF(Prêt_Non_Payé*Valeurs_Entrées,Date_Paiement,""), "")</f>
        <v/>
      </c>
      <c r="D323" s="667" t="str">
        <f>IFERROR(IF(Prêt_Non_Payé*Valeurs_Entrées,Solde_Départ,""), "")</f>
        <v/>
      </c>
      <c r="E323" s="667" t="str">
        <f>IFERROR(IF(Prêt_Non_Payé*Valeurs_Entrées,Mensualité,""), "")</f>
        <v/>
      </c>
      <c r="F323" s="667" t="str">
        <f>IFERROR(IF(Prêt_Non_Payé*Valeurs_Entrées,Capital,""), "")</f>
        <v/>
      </c>
      <c r="G323" s="667" t="str">
        <f>IFERROR(IF(Prêt_Non_Payé*Valeurs_Entrées,Intérêts,""), "")</f>
        <v/>
      </c>
      <c r="H323" s="667" t="str">
        <f>IFERROR(IF(Prêt_Non_Payé*Valeurs_Entrées,Solde_Final,""), "")</f>
        <v/>
      </c>
    </row>
    <row r="324" spans="2:8" x14ac:dyDescent="0.2">
      <c r="B324" s="665" t="str">
        <f>IFERROR(IF(Prêt_Non_Payé*Valeurs_Entrées,Numéro_Paiement,""), "")</f>
        <v/>
      </c>
      <c r="C324" s="666" t="str">
        <f>IFERROR(IF(Prêt_Non_Payé*Valeurs_Entrées,Date_Paiement,""), "")</f>
        <v/>
      </c>
      <c r="D324" s="667" t="str">
        <f>IFERROR(IF(Prêt_Non_Payé*Valeurs_Entrées,Solde_Départ,""), "")</f>
        <v/>
      </c>
      <c r="E324" s="667" t="str">
        <f>IFERROR(IF(Prêt_Non_Payé*Valeurs_Entrées,Mensualité,""), "")</f>
        <v/>
      </c>
      <c r="F324" s="667" t="str">
        <f>IFERROR(IF(Prêt_Non_Payé*Valeurs_Entrées,Capital,""), "")</f>
        <v/>
      </c>
      <c r="G324" s="667" t="str">
        <f>IFERROR(IF(Prêt_Non_Payé*Valeurs_Entrées,Intérêts,""), "")</f>
        <v/>
      </c>
      <c r="H324" s="667" t="str">
        <f>IFERROR(IF(Prêt_Non_Payé*Valeurs_Entrées,Solde_Final,""), "")</f>
        <v/>
      </c>
    </row>
    <row r="325" spans="2:8" x14ac:dyDescent="0.2">
      <c r="B325" s="665" t="str">
        <f>IFERROR(IF(Prêt_Non_Payé*Valeurs_Entrées,Numéro_Paiement,""), "")</f>
        <v/>
      </c>
      <c r="C325" s="666" t="str">
        <f>IFERROR(IF(Prêt_Non_Payé*Valeurs_Entrées,Date_Paiement,""), "")</f>
        <v/>
      </c>
      <c r="D325" s="667" t="str">
        <f>IFERROR(IF(Prêt_Non_Payé*Valeurs_Entrées,Solde_Départ,""), "")</f>
        <v/>
      </c>
      <c r="E325" s="667" t="str">
        <f>IFERROR(IF(Prêt_Non_Payé*Valeurs_Entrées,Mensualité,""), "")</f>
        <v/>
      </c>
      <c r="F325" s="667" t="str">
        <f>IFERROR(IF(Prêt_Non_Payé*Valeurs_Entrées,Capital,""), "")</f>
        <v/>
      </c>
      <c r="G325" s="667" t="str">
        <f>IFERROR(IF(Prêt_Non_Payé*Valeurs_Entrées,Intérêts,""), "")</f>
        <v/>
      </c>
      <c r="H325" s="667" t="str">
        <f>IFERROR(IF(Prêt_Non_Payé*Valeurs_Entrées,Solde_Final,""), "")</f>
        <v/>
      </c>
    </row>
    <row r="326" spans="2:8" x14ac:dyDescent="0.2">
      <c r="B326" s="665" t="str">
        <f>IFERROR(IF(Prêt_Non_Payé*Valeurs_Entrées,Numéro_Paiement,""), "")</f>
        <v/>
      </c>
      <c r="C326" s="666" t="str">
        <f>IFERROR(IF(Prêt_Non_Payé*Valeurs_Entrées,Date_Paiement,""), "")</f>
        <v/>
      </c>
      <c r="D326" s="667" t="str">
        <f>IFERROR(IF(Prêt_Non_Payé*Valeurs_Entrées,Solde_Départ,""), "")</f>
        <v/>
      </c>
      <c r="E326" s="667" t="str">
        <f>IFERROR(IF(Prêt_Non_Payé*Valeurs_Entrées,Mensualité,""), "")</f>
        <v/>
      </c>
      <c r="F326" s="667" t="str">
        <f>IFERROR(IF(Prêt_Non_Payé*Valeurs_Entrées,Capital,""), "")</f>
        <v/>
      </c>
      <c r="G326" s="667" t="str">
        <f>IFERROR(IF(Prêt_Non_Payé*Valeurs_Entrées,Intérêts,""), "")</f>
        <v/>
      </c>
      <c r="H326" s="667" t="str">
        <f>IFERROR(IF(Prêt_Non_Payé*Valeurs_Entrées,Solde_Final,""), "")</f>
        <v/>
      </c>
    </row>
    <row r="327" spans="2:8" x14ac:dyDescent="0.2">
      <c r="B327" s="665" t="str">
        <f>IFERROR(IF(Prêt_Non_Payé*Valeurs_Entrées,Numéro_Paiement,""), "")</f>
        <v/>
      </c>
      <c r="C327" s="666" t="str">
        <f>IFERROR(IF(Prêt_Non_Payé*Valeurs_Entrées,Date_Paiement,""), "")</f>
        <v/>
      </c>
      <c r="D327" s="667" t="str">
        <f>IFERROR(IF(Prêt_Non_Payé*Valeurs_Entrées,Solde_Départ,""), "")</f>
        <v/>
      </c>
      <c r="E327" s="667" t="str">
        <f>IFERROR(IF(Prêt_Non_Payé*Valeurs_Entrées,Mensualité,""), "")</f>
        <v/>
      </c>
      <c r="F327" s="667" t="str">
        <f>IFERROR(IF(Prêt_Non_Payé*Valeurs_Entrées,Capital,""), "")</f>
        <v/>
      </c>
      <c r="G327" s="667" t="str">
        <f>IFERROR(IF(Prêt_Non_Payé*Valeurs_Entrées,Intérêts,""), "")</f>
        <v/>
      </c>
      <c r="H327" s="667" t="str">
        <f>IFERROR(IF(Prêt_Non_Payé*Valeurs_Entrées,Solde_Final,""), "")</f>
        <v/>
      </c>
    </row>
    <row r="328" spans="2:8" x14ac:dyDescent="0.2">
      <c r="B328" s="665" t="str">
        <f>IFERROR(IF(Prêt_Non_Payé*Valeurs_Entrées,Numéro_Paiement,""), "")</f>
        <v/>
      </c>
      <c r="C328" s="666" t="str">
        <f>IFERROR(IF(Prêt_Non_Payé*Valeurs_Entrées,Date_Paiement,""), "")</f>
        <v/>
      </c>
      <c r="D328" s="667" t="str">
        <f>IFERROR(IF(Prêt_Non_Payé*Valeurs_Entrées,Solde_Départ,""), "")</f>
        <v/>
      </c>
      <c r="E328" s="667" t="str">
        <f>IFERROR(IF(Prêt_Non_Payé*Valeurs_Entrées,Mensualité,""), "")</f>
        <v/>
      </c>
      <c r="F328" s="667" t="str">
        <f>IFERROR(IF(Prêt_Non_Payé*Valeurs_Entrées,Capital,""), "")</f>
        <v/>
      </c>
      <c r="G328" s="667" t="str">
        <f>IFERROR(IF(Prêt_Non_Payé*Valeurs_Entrées,Intérêts,""), "")</f>
        <v/>
      </c>
      <c r="H328" s="667" t="str">
        <f>IFERROR(IF(Prêt_Non_Payé*Valeurs_Entrées,Solde_Final,""), "")</f>
        <v/>
      </c>
    </row>
    <row r="329" spans="2:8" x14ac:dyDescent="0.2">
      <c r="B329" s="665" t="str">
        <f>IFERROR(IF(Prêt_Non_Payé*Valeurs_Entrées,Numéro_Paiement,""), "")</f>
        <v/>
      </c>
      <c r="C329" s="666" t="str">
        <f>IFERROR(IF(Prêt_Non_Payé*Valeurs_Entrées,Date_Paiement,""), "")</f>
        <v/>
      </c>
      <c r="D329" s="667" t="str">
        <f>IFERROR(IF(Prêt_Non_Payé*Valeurs_Entrées,Solde_Départ,""), "")</f>
        <v/>
      </c>
      <c r="E329" s="667" t="str">
        <f>IFERROR(IF(Prêt_Non_Payé*Valeurs_Entrées,Mensualité,""), "")</f>
        <v/>
      </c>
      <c r="F329" s="667" t="str">
        <f>IFERROR(IF(Prêt_Non_Payé*Valeurs_Entrées,Capital,""), "")</f>
        <v/>
      </c>
      <c r="G329" s="667" t="str">
        <f>IFERROR(IF(Prêt_Non_Payé*Valeurs_Entrées,Intérêts,""), "")</f>
        <v/>
      </c>
      <c r="H329" s="667" t="str">
        <f>IFERROR(IF(Prêt_Non_Payé*Valeurs_Entrées,Solde_Final,""), "")</f>
        <v/>
      </c>
    </row>
    <row r="330" spans="2:8" x14ac:dyDescent="0.2">
      <c r="B330" s="665" t="str">
        <f>IFERROR(IF(Prêt_Non_Payé*Valeurs_Entrées,Numéro_Paiement,""), "")</f>
        <v/>
      </c>
      <c r="C330" s="666" t="str">
        <f>IFERROR(IF(Prêt_Non_Payé*Valeurs_Entrées,Date_Paiement,""), "")</f>
        <v/>
      </c>
      <c r="D330" s="667" t="str">
        <f>IFERROR(IF(Prêt_Non_Payé*Valeurs_Entrées,Solde_Départ,""), "")</f>
        <v/>
      </c>
      <c r="E330" s="667" t="str">
        <f>IFERROR(IF(Prêt_Non_Payé*Valeurs_Entrées,Mensualité,""), "")</f>
        <v/>
      </c>
      <c r="F330" s="667" t="str">
        <f>IFERROR(IF(Prêt_Non_Payé*Valeurs_Entrées,Capital,""), "")</f>
        <v/>
      </c>
      <c r="G330" s="667" t="str">
        <f>IFERROR(IF(Prêt_Non_Payé*Valeurs_Entrées,Intérêts,""), "")</f>
        <v/>
      </c>
      <c r="H330" s="667" t="str">
        <f>IFERROR(IF(Prêt_Non_Payé*Valeurs_Entrées,Solde_Final,""), "")</f>
        <v/>
      </c>
    </row>
    <row r="331" spans="2:8" x14ac:dyDescent="0.2">
      <c r="B331" s="665" t="str">
        <f>IFERROR(IF(Prêt_Non_Payé*Valeurs_Entrées,Numéro_Paiement,""), "")</f>
        <v/>
      </c>
      <c r="C331" s="666" t="str">
        <f>IFERROR(IF(Prêt_Non_Payé*Valeurs_Entrées,Date_Paiement,""), "")</f>
        <v/>
      </c>
      <c r="D331" s="667" t="str">
        <f>IFERROR(IF(Prêt_Non_Payé*Valeurs_Entrées,Solde_Départ,""), "")</f>
        <v/>
      </c>
      <c r="E331" s="667" t="str">
        <f>IFERROR(IF(Prêt_Non_Payé*Valeurs_Entrées,Mensualité,""), "")</f>
        <v/>
      </c>
      <c r="F331" s="667" t="str">
        <f>IFERROR(IF(Prêt_Non_Payé*Valeurs_Entrées,Capital,""), "")</f>
        <v/>
      </c>
      <c r="G331" s="667" t="str">
        <f>IFERROR(IF(Prêt_Non_Payé*Valeurs_Entrées,Intérêts,""), "")</f>
        <v/>
      </c>
      <c r="H331" s="667" t="str">
        <f>IFERROR(IF(Prêt_Non_Payé*Valeurs_Entrées,Solde_Final,""), "")</f>
        <v/>
      </c>
    </row>
    <row r="332" spans="2:8" x14ac:dyDescent="0.2">
      <c r="B332" s="665" t="str">
        <f>IFERROR(IF(Prêt_Non_Payé*Valeurs_Entrées,Numéro_Paiement,""), "")</f>
        <v/>
      </c>
      <c r="C332" s="666" t="str">
        <f>IFERROR(IF(Prêt_Non_Payé*Valeurs_Entrées,Date_Paiement,""), "")</f>
        <v/>
      </c>
      <c r="D332" s="667" t="str">
        <f>IFERROR(IF(Prêt_Non_Payé*Valeurs_Entrées,Solde_Départ,""), "")</f>
        <v/>
      </c>
      <c r="E332" s="667" t="str">
        <f>IFERROR(IF(Prêt_Non_Payé*Valeurs_Entrées,Mensualité,""), "")</f>
        <v/>
      </c>
      <c r="F332" s="667" t="str">
        <f>IFERROR(IF(Prêt_Non_Payé*Valeurs_Entrées,Capital,""), "")</f>
        <v/>
      </c>
      <c r="G332" s="667" t="str">
        <f>IFERROR(IF(Prêt_Non_Payé*Valeurs_Entrées,Intérêts,""), "")</f>
        <v/>
      </c>
      <c r="H332" s="667" t="str">
        <f>IFERROR(IF(Prêt_Non_Payé*Valeurs_Entrées,Solde_Final,""), "")</f>
        <v/>
      </c>
    </row>
    <row r="333" spans="2:8" x14ac:dyDescent="0.2">
      <c r="B333" s="665" t="str">
        <f>IFERROR(IF(Prêt_Non_Payé*Valeurs_Entrées,Numéro_Paiement,""), "")</f>
        <v/>
      </c>
      <c r="C333" s="666" t="str">
        <f>IFERROR(IF(Prêt_Non_Payé*Valeurs_Entrées,Date_Paiement,""), "")</f>
        <v/>
      </c>
      <c r="D333" s="667" t="str">
        <f>IFERROR(IF(Prêt_Non_Payé*Valeurs_Entrées,Solde_Départ,""), "")</f>
        <v/>
      </c>
      <c r="E333" s="667" t="str">
        <f>IFERROR(IF(Prêt_Non_Payé*Valeurs_Entrées,Mensualité,""), "")</f>
        <v/>
      </c>
      <c r="F333" s="667" t="str">
        <f>IFERROR(IF(Prêt_Non_Payé*Valeurs_Entrées,Capital,""), "")</f>
        <v/>
      </c>
      <c r="G333" s="667" t="str">
        <f>IFERROR(IF(Prêt_Non_Payé*Valeurs_Entrées,Intérêts,""), "")</f>
        <v/>
      </c>
      <c r="H333" s="667" t="str">
        <f>IFERROR(IF(Prêt_Non_Payé*Valeurs_Entrées,Solde_Final,""), "")</f>
        <v/>
      </c>
    </row>
    <row r="334" spans="2:8" x14ac:dyDescent="0.2">
      <c r="B334" s="665" t="str">
        <f>IFERROR(IF(Prêt_Non_Payé*Valeurs_Entrées,Numéro_Paiement,""), "")</f>
        <v/>
      </c>
      <c r="C334" s="666" t="str">
        <f>IFERROR(IF(Prêt_Non_Payé*Valeurs_Entrées,Date_Paiement,""), "")</f>
        <v/>
      </c>
      <c r="D334" s="667" t="str">
        <f>IFERROR(IF(Prêt_Non_Payé*Valeurs_Entrées,Solde_Départ,""), "")</f>
        <v/>
      </c>
      <c r="E334" s="667" t="str">
        <f>IFERROR(IF(Prêt_Non_Payé*Valeurs_Entrées,Mensualité,""), "")</f>
        <v/>
      </c>
      <c r="F334" s="667" t="str">
        <f>IFERROR(IF(Prêt_Non_Payé*Valeurs_Entrées,Capital,""), "")</f>
        <v/>
      </c>
      <c r="G334" s="667" t="str">
        <f>IFERROR(IF(Prêt_Non_Payé*Valeurs_Entrées,Intérêts,""), "")</f>
        <v/>
      </c>
      <c r="H334" s="667" t="str">
        <f>IFERROR(IF(Prêt_Non_Payé*Valeurs_Entrées,Solde_Final,""), "")</f>
        <v/>
      </c>
    </row>
    <row r="335" spans="2:8" x14ac:dyDescent="0.2">
      <c r="B335" s="665" t="str">
        <f>IFERROR(IF(Prêt_Non_Payé*Valeurs_Entrées,Numéro_Paiement,""), "")</f>
        <v/>
      </c>
      <c r="C335" s="666" t="str">
        <f>IFERROR(IF(Prêt_Non_Payé*Valeurs_Entrées,Date_Paiement,""), "")</f>
        <v/>
      </c>
      <c r="D335" s="667" t="str">
        <f>IFERROR(IF(Prêt_Non_Payé*Valeurs_Entrées,Solde_Départ,""), "")</f>
        <v/>
      </c>
      <c r="E335" s="667" t="str">
        <f>IFERROR(IF(Prêt_Non_Payé*Valeurs_Entrées,Mensualité,""), "")</f>
        <v/>
      </c>
      <c r="F335" s="667" t="str">
        <f>IFERROR(IF(Prêt_Non_Payé*Valeurs_Entrées,Capital,""), "")</f>
        <v/>
      </c>
      <c r="G335" s="667" t="str">
        <f>IFERROR(IF(Prêt_Non_Payé*Valeurs_Entrées,Intérêts,""), "")</f>
        <v/>
      </c>
      <c r="H335" s="667" t="str">
        <f>IFERROR(IF(Prêt_Non_Payé*Valeurs_Entrées,Solde_Final,""), "")</f>
        <v/>
      </c>
    </row>
    <row r="336" spans="2:8" x14ac:dyDescent="0.2">
      <c r="B336" s="665" t="str">
        <f>IFERROR(IF(Prêt_Non_Payé*Valeurs_Entrées,Numéro_Paiement,""), "")</f>
        <v/>
      </c>
      <c r="C336" s="666" t="str">
        <f>IFERROR(IF(Prêt_Non_Payé*Valeurs_Entrées,Date_Paiement,""), "")</f>
        <v/>
      </c>
      <c r="D336" s="667" t="str">
        <f>IFERROR(IF(Prêt_Non_Payé*Valeurs_Entrées,Solde_Départ,""), "")</f>
        <v/>
      </c>
      <c r="E336" s="667" t="str">
        <f>IFERROR(IF(Prêt_Non_Payé*Valeurs_Entrées,Mensualité,""), "")</f>
        <v/>
      </c>
      <c r="F336" s="667" t="str">
        <f>IFERROR(IF(Prêt_Non_Payé*Valeurs_Entrées,Capital,""), "")</f>
        <v/>
      </c>
      <c r="G336" s="667" t="str">
        <f>IFERROR(IF(Prêt_Non_Payé*Valeurs_Entrées,Intérêts,""), "")</f>
        <v/>
      </c>
      <c r="H336" s="667" t="str">
        <f>IFERROR(IF(Prêt_Non_Payé*Valeurs_Entrées,Solde_Final,""), "")</f>
        <v/>
      </c>
    </row>
    <row r="337" spans="2:8" x14ac:dyDescent="0.2">
      <c r="B337" s="665" t="str">
        <f>IFERROR(IF(Prêt_Non_Payé*Valeurs_Entrées,Numéro_Paiement,""), "")</f>
        <v/>
      </c>
      <c r="C337" s="666" t="str">
        <f>IFERROR(IF(Prêt_Non_Payé*Valeurs_Entrées,Date_Paiement,""), "")</f>
        <v/>
      </c>
      <c r="D337" s="667" t="str">
        <f>IFERROR(IF(Prêt_Non_Payé*Valeurs_Entrées,Solde_Départ,""), "")</f>
        <v/>
      </c>
      <c r="E337" s="667" t="str">
        <f>IFERROR(IF(Prêt_Non_Payé*Valeurs_Entrées,Mensualité,""), "")</f>
        <v/>
      </c>
      <c r="F337" s="667" t="str">
        <f>IFERROR(IF(Prêt_Non_Payé*Valeurs_Entrées,Capital,""), "")</f>
        <v/>
      </c>
      <c r="G337" s="667" t="str">
        <f>IFERROR(IF(Prêt_Non_Payé*Valeurs_Entrées,Intérêts,""), "")</f>
        <v/>
      </c>
      <c r="H337" s="667" t="str">
        <f>IFERROR(IF(Prêt_Non_Payé*Valeurs_Entrées,Solde_Final,""), "")</f>
        <v/>
      </c>
    </row>
    <row r="338" spans="2:8" x14ac:dyDescent="0.2">
      <c r="B338" s="665" t="str">
        <f>IFERROR(IF(Prêt_Non_Payé*Valeurs_Entrées,Numéro_Paiement,""), "")</f>
        <v/>
      </c>
      <c r="C338" s="666" t="str">
        <f>IFERROR(IF(Prêt_Non_Payé*Valeurs_Entrées,Date_Paiement,""), "")</f>
        <v/>
      </c>
      <c r="D338" s="667" t="str">
        <f>IFERROR(IF(Prêt_Non_Payé*Valeurs_Entrées,Solde_Départ,""), "")</f>
        <v/>
      </c>
      <c r="E338" s="667" t="str">
        <f>IFERROR(IF(Prêt_Non_Payé*Valeurs_Entrées,Mensualité,""), "")</f>
        <v/>
      </c>
      <c r="F338" s="667" t="str">
        <f>IFERROR(IF(Prêt_Non_Payé*Valeurs_Entrées,Capital,""), "")</f>
        <v/>
      </c>
      <c r="G338" s="667" t="str">
        <f>IFERROR(IF(Prêt_Non_Payé*Valeurs_Entrées,Intérêts,""), "")</f>
        <v/>
      </c>
      <c r="H338" s="667" t="str">
        <f>IFERROR(IF(Prêt_Non_Payé*Valeurs_Entrées,Solde_Final,""), "")</f>
        <v/>
      </c>
    </row>
    <row r="339" spans="2:8" x14ac:dyDescent="0.2">
      <c r="B339" s="665" t="str">
        <f>IFERROR(IF(Prêt_Non_Payé*Valeurs_Entrées,Numéro_Paiement,""), "")</f>
        <v/>
      </c>
      <c r="C339" s="666" t="str">
        <f>IFERROR(IF(Prêt_Non_Payé*Valeurs_Entrées,Date_Paiement,""), "")</f>
        <v/>
      </c>
      <c r="D339" s="667" t="str">
        <f>IFERROR(IF(Prêt_Non_Payé*Valeurs_Entrées,Solde_Départ,""), "")</f>
        <v/>
      </c>
      <c r="E339" s="667" t="str">
        <f>IFERROR(IF(Prêt_Non_Payé*Valeurs_Entrées,Mensualité,""), "")</f>
        <v/>
      </c>
      <c r="F339" s="667" t="str">
        <f>IFERROR(IF(Prêt_Non_Payé*Valeurs_Entrées,Capital,""), "")</f>
        <v/>
      </c>
      <c r="G339" s="667" t="str">
        <f>IFERROR(IF(Prêt_Non_Payé*Valeurs_Entrées,Intérêts,""), "")</f>
        <v/>
      </c>
      <c r="H339" s="667" t="str">
        <f>IFERROR(IF(Prêt_Non_Payé*Valeurs_Entrées,Solde_Final,""), "")</f>
        <v/>
      </c>
    </row>
    <row r="340" spans="2:8" x14ac:dyDescent="0.2">
      <c r="B340" s="665" t="str">
        <f>IFERROR(IF(Prêt_Non_Payé*Valeurs_Entrées,Numéro_Paiement,""), "")</f>
        <v/>
      </c>
      <c r="C340" s="666" t="str">
        <f>IFERROR(IF(Prêt_Non_Payé*Valeurs_Entrées,Date_Paiement,""), "")</f>
        <v/>
      </c>
      <c r="D340" s="667" t="str">
        <f>IFERROR(IF(Prêt_Non_Payé*Valeurs_Entrées,Solde_Départ,""), "")</f>
        <v/>
      </c>
      <c r="E340" s="667" t="str">
        <f>IFERROR(IF(Prêt_Non_Payé*Valeurs_Entrées,Mensualité,""), "")</f>
        <v/>
      </c>
      <c r="F340" s="667" t="str">
        <f>IFERROR(IF(Prêt_Non_Payé*Valeurs_Entrées,Capital,""), "")</f>
        <v/>
      </c>
      <c r="G340" s="667" t="str">
        <f>IFERROR(IF(Prêt_Non_Payé*Valeurs_Entrées,Intérêts,""), "")</f>
        <v/>
      </c>
      <c r="H340" s="667" t="str">
        <f>IFERROR(IF(Prêt_Non_Payé*Valeurs_Entrées,Solde_Final,""), "")</f>
        <v/>
      </c>
    </row>
    <row r="341" spans="2:8" x14ac:dyDescent="0.2">
      <c r="B341" s="665" t="str">
        <f>IFERROR(IF(Prêt_Non_Payé*Valeurs_Entrées,Numéro_Paiement,""), "")</f>
        <v/>
      </c>
      <c r="C341" s="666" t="str">
        <f>IFERROR(IF(Prêt_Non_Payé*Valeurs_Entrées,Date_Paiement,""), "")</f>
        <v/>
      </c>
      <c r="D341" s="667" t="str">
        <f>IFERROR(IF(Prêt_Non_Payé*Valeurs_Entrées,Solde_Départ,""), "")</f>
        <v/>
      </c>
      <c r="E341" s="667" t="str">
        <f>IFERROR(IF(Prêt_Non_Payé*Valeurs_Entrées,Mensualité,""), "")</f>
        <v/>
      </c>
      <c r="F341" s="667" t="str">
        <f>IFERROR(IF(Prêt_Non_Payé*Valeurs_Entrées,Capital,""), "")</f>
        <v/>
      </c>
      <c r="G341" s="667" t="str">
        <f>IFERROR(IF(Prêt_Non_Payé*Valeurs_Entrées,Intérêts,""), "")</f>
        <v/>
      </c>
      <c r="H341" s="667" t="str">
        <f>IFERROR(IF(Prêt_Non_Payé*Valeurs_Entrées,Solde_Final,""), "")</f>
        <v/>
      </c>
    </row>
    <row r="342" spans="2:8" x14ac:dyDescent="0.2">
      <c r="B342" s="665" t="str">
        <f>IFERROR(IF(Prêt_Non_Payé*Valeurs_Entrées,Numéro_Paiement,""), "")</f>
        <v/>
      </c>
      <c r="C342" s="666" t="str">
        <f>IFERROR(IF(Prêt_Non_Payé*Valeurs_Entrées,Date_Paiement,""), "")</f>
        <v/>
      </c>
      <c r="D342" s="667" t="str">
        <f>IFERROR(IF(Prêt_Non_Payé*Valeurs_Entrées,Solde_Départ,""), "")</f>
        <v/>
      </c>
      <c r="E342" s="667" t="str">
        <f>IFERROR(IF(Prêt_Non_Payé*Valeurs_Entrées,Mensualité,""), "")</f>
        <v/>
      </c>
      <c r="F342" s="667" t="str">
        <f>IFERROR(IF(Prêt_Non_Payé*Valeurs_Entrées,Capital,""), "")</f>
        <v/>
      </c>
      <c r="G342" s="667" t="str">
        <f>IFERROR(IF(Prêt_Non_Payé*Valeurs_Entrées,Intérêts,""), "")</f>
        <v/>
      </c>
      <c r="H342" s="667" t="str">
        <f>IFERROR(IF(Prêt_Non_Payé*Valeurs_Entrées,Solde_Final,""), "")</f>
        <v/>
      </c>
    </row>
    <row r="343" spans="2:8" x14ac:dyDescent="0.2">
      <c r="B343" s="665" t="str">
        <f>IFERROR(IF(Prêt_Non_Payé*Valeurs_Entrées,Numéro_Paiement,""), "")</f>
        <v/>
      </c>
      <c r="C343" s="666" t="str">
        <f>IFERROR(IF(Prêt_Non_Payé*Valeurs_Entrées,Date_Paiement,""), "")</f>
        <v/>
      </c>
      <c r="D343" s="667" t="str">
        <f>IFERROR(IF(Prêt_Non_Payé*Valeurs_Entrées,Solde_Départ,""), "")</f>
        <v/>
      </c>
      <c r="E343" s="667" t="str">
        <f>IFERROR(IF(Prêt_Non_Payé*Valeurs_Entrées,Mensualité,""), "")</f>
        <v/>
      </c>
      <c r="F343" s="667" t="str">
        <f>IFERROR(IF(Prêt_Non_Payé*Valeurs_Entrées,Capital,""), "")</f>
        <v/>
      </c>
      <c r="G343" s="667" t="str">
        <f>IFERROR(IF(Prêt_Non_Payé*Valeurs_Entrées,Intérêts,""), "")</f>
        <v/>
      </c>
      <c r="H343" s="667" t="str">
        <f>IFERROR(IF(Prêt_Non_Payé*Valeurs_Entrées,Solde_Final,""), "")</f>
        <v/>
      </c>
    </row>
    <row r="344" spans="2:8" x14ac:dyDescent="0.2">
      <c r="B344" s="665" t="str">
        <f>IFERROR(IF(Prêt_Non_Payé*Valeurs_Entrées,Numéro_Paiement,""), "")</f>
        <v/>
      </c>
      <c r="C344" s="666" t="str">
        <f>IFERROR(IF(Prêt_Non_Payé*Valeurs_Entrées,Date_Paiement,""), "")</f>
        <v/>
      </c>
      <c r="D344" s="667" t="str">
        <f>IFERROR(IF(Prêt_Non_Payé*Valeurs_Entrées,Solde_Départ,""), "")</f>
        <v/>
      </c>
      <c r="E344" s="667" t="str">
        <f>IFERROR(IF(Prêt_Non_Payé*Valeurs_Entrées,Mensualité,""), "")</f>
        <v/>
      </c>
      <c r="F344" s="667" t="str">
        <f>IFERROR(IF(Prêt_Non_Payé*Valeurs_Entrées,Capital,""), "")</f>
        <v/>
      </c>
      <c r="G344" s="667" t="str">
        <f>IFERROR(IF(Prêt_Non_Payé*Valeurs_Entrées,Intérêts,""), "")</f>
        <v/>
      </c>
      <c r="H344" s="667" t="str">
        <f>IFERROR(IF(Prêt_Non_Payé*Valeurs_Entrées,Solde_Final,""), "")</f>
        <v/>
      </c>
    </row>
    <row r="345" spans="2:8" x14ac:dyDescent="0.2">
      <c r="B345" s="665" t="str">
        <f>IFERROR(IF(Prêt_Non_Payé*Valeurs_Entrées,Numéro_Paiement,""), "")</f>
        <v/>
      </c>
      <c r="C345" s="666" t="str">
        <f>IFERROR(IF(Prêt_Non_Payé*Valeurs_Entrées,Date_Paiement,""), "")</f>
        <v/>
      </c>
      <c r="D345" s="667" t="str">
        <f>IFERROR(IF(Prêt_Non_Payé*Valeurs_Entrées,Solde_Départ,""), "")</f>
        <v/>
      </c>
      <c r="E345" s="667" t="str">
        <f>IFERROR(IF(Prêt_Non_Payé*Valeurs_Entrées,Mensualité,""), "")</f>
        <v/>
      </c>
      <c r="F345" s="667" t="str">
        <f>IFERROR(IF(Prêt_Non_Payé*Valeurs_Entrées,Capital,""), "")</f>
        <v/>
      </c>
      <c r="G345" s="667" t="str">
        <f>IFERROR(IF(Prêt_Non_Payé*Valeurs_Entrées,Intérêts,""), "")</f>
        <v/>
      </c>
      <c r="H345" s="667" t="str">
        <f>IFERROR(IF(Prêt_Non_Payé*Valeurs_Entrées,Solde_Final,""), "")</f>
        <v/>
      </c>
    </row>
    <row r="346" spans="2:8" x14ac:dyDescent="0.2">
      <c r="B346" s="665" t="str">
        <f>IFERROR(IF(Prêt_Non_Payé*Valeurs_Entrées,Numéro_Paiement,""), "")</f>
        <v/>
      </c>
      <c r="C346" s="666" t="str">
        <f>IFERROR(IF(Prêt_Non_Payé*Valeurs_Entrées,Date_Paiement,""), "")</f>
        <v/>
      </c>
      <c r="D346" s="667" t="str">
        <f>IFERROR(IF(Prêt_Non_Payé*Valeurs_Entrées,Solde_Départ,""), "")</f>
        <v/>
      </c>
      <c r="E346" s="667" t="str">
        <f>IFERROR(IF(Prêt_Non_Payé*Valeurs_Entrées,Mensualité,""), "")</f>
        <v/>
      </c>
      <c r="F346" s="667" t="str">
        <f>IFERROR(IF(Prêt_Non_Payé*Valeurs_Entrées,Capital,""), "")</f>
        <v/>
      </c>
      <c r="G346" s="667" t="str">
        <f>IFERROR(IF(Prêt_Non_Payé*Valeurs_Entrées,Intérêts,""), "")</f>
        <v/>
      </c>
      <c r="H346" s="667" t="str">
        <f>IFERROR(IF(Prêt_Non_Payé*Valeurs_Entrées,Solde_Final,""), "")</f>
        <v/>
      </c>
    </row>
    <row r="347" spans="2:8" x14ac:dyDescent="0.2">
      <c r="B347" s="665" t="str">
        <f>IFERROR(IF(Prêt_Non_Payé*Valeurs_Entrées,Numéro_Paiement,""), "")</f>
        <v/>
      </c>
      <c r="C347" s="666" t="str">
        <f>IFERROR(IF(Prêt_Non_Payé*Valeurs_Entrées,Date_Paiement,""), "")</f>
        <v/>
      </c>
      <c r="D347" s="667" t="str">
        <f>IFERROR(IF(Prêt_Non_Payé*Valeurs_Entrées,Solde_Départ,""), "")</f>
        <v/>
      </c>
      <c r="E347" s="667" t="str">
        <f>IFERROR(IF(Prêt_Non_Payé*Valeurs_Entrées,Mensualité,""), "")</f>
        <v/>
      </c>
      <c r="F347" s="667" t="str">
        <f>IFERROR(IF(Prêt_Non_Payé*Valeurs_Entrées,Capital,""), "")</f>
        <v/>
      </c>
      <c r="G347" s="667" t="str">
        <f>IFERROR(IF(Prêt_Non_Payé*Valeurs_Entrées,Intérêts,""), "")</f>
        <v/>
      </c>
      <c r="H347" s="667" t="str">
        <f>IFERROR(IF(Prêt_Non_Payé*Valeurs_Entrées,Solde_Final,""), "")</f>
        <v/>
      </c>
    </row>
    <row r="348" spans="2:8" x14ac:dyDescent="0.2">
      <c r="B348" s="665" t="str">
        <f>IFERROR(IF(Prêt_Non_Payé*Valeurs_Entrées,Numéro_Paiement,""), "")</f>
        <v/>
      </c>
      <c r="C348" s="666" t="str">
        <f>IFERROR(IF(Prêt_Non_Payé*Valeurs_Entrées,Date_Paiement,""), "")</f>
        <v/>
      </c>
      <c r="D348" s="667" t="str">
        <f>IFERROR(IF(Prêt_Non_Payé*Valeurs_Entrées,Solde_Départ,""), "")</f>
        <v/>
      </c>
      <c r="E348" s="667" t="str">
        <f>IFERROR(IF(Prêt_Non_Payé*Valeurs_Entrées,Mensualité,""), "")</f>
        <v/>
      </c>
      <c r="F348" s="667" t="str">
        <f>IFERROR(IF(Prêt_Non_Payé*Valeurs_Entrées,Capital,""), "")</f>
        <v/>
      </c>
      <c r="G348" s="667" t="str">
        <f>IFERROR(IF(Prêt_Non_Payé*Valeurs_Entrées,Intérêts,""), "")</f>
        <v/>
      </c>
      <c r="H348" s="667" t="str">
        <f>IFERROR(IF(Prêt_Non_Payé*Valeurs_Entrées,Solde_Final,""), "")</f>
        <v/>
      </c>
    </row>
    <row r="349" spans="2:8" x14ac:dyDescent="0.2">
      <c r="B349" s="665" t="str">
        <f>IFERROR(IF(Prêt_Non_Payé*Valeurs_Entrées,Numéro_Paiement,""), "")</f>
        <v/>
      </c>
      <c r="C349" s="666" t="str">
        <f>IFERROR(IF(Prêt_Non_Payé*Valeurs_Entrées,Date_Paiement,""), "")</f>
        <v/>
      </c>
      <c r="D349" s="667" t="str">
        <f>IFERROR(IF(Prêt_Non_Payé*Valeurs_Entrées,Solde_Départ,""), "")</f>
        <v/>
      </c>
      <c r="E349" s="667" t="str">
        <f>IFERROR(IF(Prêt_Non_Payé*Valeurs_Entrées,Mensualité,""), "")</f>
        <v/>
      </c>
      <c r="F349" s="667" t="str">
        <f>IFERROR(IF(Prêt_Non_Payé*Valeurs_Entrées,Capital,""), "")</f>
        <v/>
      </c>
      <c r="G349" s="667" t="str">
        <f>IFERROR(IF(Prêt_Non_Payé*Valeurs_Entrées,Intérêts,""), "")</f>
        <v/>
      </c>
      <c r="H349" s="667" t="str">
        <f>IFERROR(IF(Prêt_Non_Payé*Valeurs_Entrées,Solde_Final,""), "")</f>
        <v/>
      </c>
    </row>
    <row r="350" spans="2:8" x14ac:dyDescent="0.2">
      <c r="B350" s="665" t="str">
        <f>IFERROR(IF(Prêt_Non_Payé*Valeurs_Entrées,Numéro_Paiement,""), "")</f>
        <v/>
      </c>
      <c r="C350" s="666" t="str">
        <f>IFERROR(IF(Prêt_Non_Payé*Valeurs_Entrées,Date_Paiement,""), "")</f>
        <v/>
      </c>
      <c r="D350" s="667" t="str">
        <f>IFERROR(IF(Prêt_Non_Payé*Valeurs_Entrées,Solde_Départ,""), "")</f>
        <v/>
      </c>
      <c r="E350" s="667" t="str">
        <f>IFERROR(IF(Prêt_Non_Payé*Valeurs_Entrées,Mensualité,""), "")</f>
        <v/>
      </c>
      <c r="F350" s="667" t="str">
        <f>IFERROR(IF(Prêt_Non_Payé*Valeurs_Entrées,Capital,""), "")</f>
        <v/>
      </c>
      <c r="G350" s="667" t="str">
        <f>IFERROR(IF(Prêt_Non_Payé*Valeurs_Entrées,Intérêts,""), "")</f>
        <v/>
      </c>
      <c r="H350" s="667" t="str">
        <f>IFERROR(IF(Prêt_Non_Payé*Valeurs_Entrées,Solde_Final,""), "")</f>
        <v/>
      </c>
    </row>
    <row r="351" spans="2:8" x14ac:dyDescent="0.2">
      <c r="B351" s="665" t="str">
        <f>IFERROR(IF(Prêt_Non_Payé*Valeurs_Entrées,Numéro_Paiement,""), "")</f>
        <v/>
      </c>
      <c r="C351" s="666" t="str">
        <f>IFERROR(IF(Prêt_Non_Payé*Valeurs_Entrées,Date_Paiement,""), "")</f>
        <v/>
      </c>
      <c r="D351" s="667" t="str">
        <f>IFERROR(IF(Prêt_Non_Payé*Valeurs_Entrées,Solde_Départ,""), "")</f>
        <v/>
      </c>
      <c r="E351" s="667" t="str">
        <f>IFERROR(IF(Prêt_Non_Payé*Valeurs_Entrées,Mensualité,""), "")</f>
        <v/>
      </c>
      <c r="F351" s="667" t="str">
        <f>IFERROR(IF(Prêt_Non_Payé*Valeurs_Entrées,Capital,""), "")</f>
        <v/>
      </c>
      <c r="G351" s="667" t="str">
        <f>IFERROR(IF(Prêt_Non_Payé*Valeurs_Entrées,Intérêts,""), "")</f>
        <v/>
      </c>
      <c r="H351" s="667" t="str">
        <f>IFERROR(IF(Prêt_Non_Payé*Valeurs_Entrées,Solde_Final,""), "")</f>
        <v/>
      </c>
    </row>
    <row r="352" spans="2:8" x14ac:dyDescent="0.2">
      <c r="B352" s="665" t="str">
        <f>IFERROR(IF(Prêt_Non_Payé*Valeurs_Entrées,Numéro_Paiement,""), "")</f>
        <v/>
      </c>
      <c r="C352" s="666" t="str">
        <f>IFERROR(IF(Prêt_Non_Payé*Valeurs_Entrées,Date_Paiement,""), "")</f>
        <v/>
      </c>
      <c r="D352" s="667" t="str">
        <f>IFERROR(IF(Prêt_Non_Payé*Valeurs_Entrées,Solde_Départ,""), "")</f>
        <v/>
      </c>
      <c r="E352" s="667" t="str">
        <f>IFERROR(IF(Prêt_Non_Payé*Valeurs_Entrées,Mensualité,""), "")</f>
        <v/>
      </c>
      <c r="F352" s="667" t="str">
        <f>IFERROR(IF(Prêt_Non_Payé*Valeurs_Entrées,Capital,""), "")</f>
        <v/>
      </c>
      <c r="G352" s="667" t="str">
        <f>IFERROR(IF(Prêt_Non_Payé*Valeurs_Entrées,Intérêts,""), "")</f>
        <v/>
      </c>
      <c r="H352" s="667" t="str">
        <f>IFERROR(IF(Prêt_Non_Payé*Valeurs_Entrées,Solde_Final,""), "")</f>
        <v/>
      </c>
    </row>
    <row r="353" spans="2:8" x14ac:dyDescent="0.2">
      <c r="B353" s="665" t="str">
        <f>IFERROR(IF(Prêt_Non_Payé*Valeurs_Entrées,Numéro_Paiement,""), "")</f>
        <v/>
      </c>
      <c r="C353" s="666" t="str">
        <f>IFERROR(IF(Prêt_Non_Payé*Valeurs_Entrées,Date_Paiement,""), "")</f>
        <v/>
      </c>
      <c r="D353" s="667" t="str">
        <f>IFERROR(IF(Prêt_Non_Payé*Valeurs_Entrées,Solde_Départ,""), "")</f>
        <v/>
      </c>
      <c r="E353" s="667" t="str">
        <f>IFERROR(IF(Prêt_Non_Payé*Valeurs_Entrées,Mensualité,""), "")</f>
        <v/>
      </c>
      <c r="F353" s="667" t="str">
        <f>IFERROR(IF(Prêt_Non_Payé*Valeurs_Entrées,Capital,""), "")</f>
        <v/>
      </c>
      <c r="G353" s="667" t="str">
        <f>IFERROR(IF(Prêt_Non_Payé*Valeurs_Entrées,Intérêts,""), "")</f>
        <v/>
      </c>
      <c r="H353" s="667" t="str">
        <f>IFERROR(IF(Prêt_Non_Payé*Valeurs_Entrées,Solde_Final,""), "")</f>
        <v/>
      </c>
    </row>
    <row r="354" spans="2:8" x14ac:dyDescent="0.2">
      <c r="B354" s="665" t="str">
        <f>IFERROR(IF(Prêt_Non_Payé*Valeurs_Entrées,Numéro_Paiement,""), "")</f>
        <v/>
      </c>
      <c r="C354" s="666" t="str">
        <f>IFERROR(IF(Prêt_Non_Payé*Valeurs_Entrées,Date_Paiement,""), "")</f>
        <v/>
      </c>
      <c r="D354" s="667" t="str">
        <f>IFERROR(IF(Prêt_Non_Payé*Valeurs_Entrées,Solde_Départ,""), "")</f>
        <v/>
      </c>
      <c r="E354" s="667" t="str">
        <f>IFERROR(IF(Prêt_Non_Payé*Valeurs_Entrées,Mensualité,""), "")</f>
        <v/>
      </c>
      <c r="F354" s="667" t="str">
        <f>IFERROR(IF(Prêt_Non_Payé*Valeurs_Entrées,Capital,""), "")</f>
        <v/>
      </c>
      <c r="G354" s="667" t="str">
        <f>IFERROR(IF(Prêt_Non_Payé*Valeurs_Entrées,Intérêts,""), "")</f>
        <v/>
      </c>
      <c r="H354" s="667" t="str">
        <f>IFERROR(IF(Prêt_Non_Payé*Valeurs_Entrées,Solde_Final,""), "")</f>
        <v/>
      </c>
    </row>
    <row r="355" spans="2:8" x14ac:dyDescent="0.2">
      <c r="B355" s="665" t="str">
        <f>IFERROR(IF(Prêt_Non_Payé*Valeurs_Entrées,Numéro_Paiement,""), "")</f>
        <v/>
      </c>
      <c r="C355" s="666" t="str">
        <f>IFERROR(IF(Prêt_Non_Payé*Valeurs_Entrées,Date_Paiement,""), "")</f>
        <v/>
      </c>
      <c r="D355" s="667" t="str">
        <f>IFERROR(IF(Prêt_Non_Payé*Valeurs_Entrées,Solde_Départ,""), "")</f>
        <v/>
      </c>
      <c r="E355" s="667" t="str">
        <f>IFERROR(IF(Prêt_Non_Payé*Valeurs_Entrées,Mensualité,""), "")</f>
        <v/>
      </c>
      <c r="F355" s="667" t="str">
        <f>IFERROR(IF(Prêt_Non_Payé*Valeurs_Entrées,Capital,""), "")</f>
        <v/>
      </c>
      <c r="G355" s="667" t="str">
        <f>IFERROR(IF(Prêt_Non_Payé*Valeurs_Entrées,Intérêts,""), "")</f>
        <v/>
      </c>
      <c r="H355" s="667" t="str">
        <f>IFERROR(IF(Prêt_Non_Payé*Valeurs_Entrées,Solde_Final,""), "")</f>
        <v/>
      </c>
    </row>
    <row r="356" spans="2:8" x14ac:dyDescent="0.2">
      <c r="B356" s="665" t="str">
        <f>IFERROR(IF(Prêt_Non_Payé*Valeurs_Entrées,Numéro_Paiement,""), "")</f>
        <v/>
      </c>
      <c r="C356" s="666" t="str">
        <f>IFERROR(IF(Prêt_Non_Payé*Valeurs_Entrées,Date_Paiement,""), "")</f>
        <v/>
      </c>
      <c r="D356" s="667" t="str">
        <f>IFERROR(IF(Prêt_Non_Payé*Valeurs_Entrées,Solde_Départ,""), "")</f>
        <v/>
      </c>
      <c r="E356" s="667" t="str">
        <f>IFERROR(IF(Prêt_Non_Payé*Valeurs_Entrées,Mensualité,""), "")</f>
        <v/>
      </c>
      <c r="F356" s="667" t="str">
        <f>IFERROR(IF(Prêt_Non_Payé*Valeurs_Entrées,Capital,""), "")</f>
        <v/>
      </c>
      <c r="G356" s="667" t="str">
        <f>IFERROR(IF(Prêt_Non_Payé*Valeurs_Entrées,Intérêts,""), "")</f>
        <v/>
      </c>
      <c r="H356" s="667" t="str">
        <f>IFERROR(IF(Prêt_Non_Payé*Valeurs_Entrées,Solde_Final,""), "")</f>
        <v/>
      </c>
    </row>
    <row r="357" spans="2:8" x14ac:dyDescent="0.2">
      <c r="B357" s="665" t="str">
        <f>IFERROR(IF(Prêt_Non_Payé*Valeurs_Entrées,Numéro_Paiement,""), "")</f>
        <v/>
      </c>
      <c r="C357" s="666" t="str">
        <f>IFERROR(IF(Prêt_Non_Payé*Valeurs_Entrées,Date_Paiement,""), "")</f>
        <v/>
      </c>
      <c r="D357" s="667" t="str">
        <f>IFERROR(IF(Prêt_Non_Payé*Valeurs_Entrées,Solde_Départ,""), "")</f>
        <v/>
      </c>
      <c r="E357" s="667" t="str">
        <f>IFERROR(IF(Prêt_Non_Payé*Valeurs_Entrées,Mensualité,""), "")</f>
        <v/>
      </c>
      <c r="F357" s="667" t="str">
        <f>IFERROR(IF(Prêt_Non_Payé*Valeurs_Entrées,Capital,""), "")</f>
        <v/>
      </c>
      <c r="G357" s="667" t="str">
        <f>IFERROR(IF(Prêt_Non_Payé*Valeurs_Entrées,Intérêts,""), "")</f>
        <v/>
      </c>
      <c r="H357" s="667" t="str">
        <f>IFERROR(IF(Prêt_Non_Payé*Valeurs_Entrées,Solde_Final,""), "")</f>
        <v/>
      </c>
    </row>
    <row r="358" spans="2:8" x14ac:dyDescent="0.2">
      <c r="B358" s="665" t="str">
        <f>IFERROR(IF(Prêt_Non_Payé*Valeurs_Entrées,Numéro_Paiement,""), "")</f>
        <v/>
      </c>
      <c r="C358" s="666" t="str">
        <f>IFERROR(IF(Prêt_Non_Payé*Valeurs_Entrées,Date_Paiement,""), "")</f>
        <v/>
      </c>
      <c r="D358" s="667" t="str">
        <f>IFERROR(IF(Prêt_Non_Payé*Valeurs_Entrées,Solde_Départ,""), "")</f>
        <v/>
      </c>
      <c r="E358" s="667" t="str">
        <f>IFERROR(IF(Prêt_Non_Payé*Valeurs_Entrées,Mensualité,""), "")</f>
        <v/>
      </c>
      <c r="F358" s="667" t="str">
        <f>IFERROR(IF(Prêt_Non_Payé*Valeurs_Entrées,Capital,""), "")</f>
        <v/>
      </c>
      <c r="G358" s="667" t="str">
        <f>IFERROR(IF(Prêt_Non_Payé*Valeurs_Entrées,Intérêts,""), "")</f>
        <v/>
      </c>
      <c r="H358" s="667" t="str">
        <f>IFERROR(IF(Prêt_Non_Payé*Valeurs_Entrées,Solde_Final,""), "")</f>
        <v/>
      </c>
    </row>
    <row r="359" spans="2:8" x14ac:dyDescent="0.2">
      <c r="B359" s="665" t="str">
        <f>IFERROR(IF(Prêt_Non_Payé*Valeurs_Entrées,Numéro_Paiement,""), "")</f>
        <v/>
      </c>
      <c r="C359" s="666" t="str">
        <f>IFERROR(IF(Prêt_Non_Payé*Valeurs_Entrées,Date_Paiement,""), "")</f>
        <v/>
      </c>
      <c r="D359" s="667" t="str">
        <f>IFERROR(IF(Prêt_Non_Payé*Valeurs_Entrées,Solde_Départ,""), "")</f>
        <v/>
      </c>
      <c r="E359" s="667" t="str">
        <f>IFERROR(IF(Prêt_Non_Payé*Valeurs_Entrées,Mensualité,""), "")</f>
        <v/>
      </c>
      <c r="F359" s="667" t="str">
        <f>IFERROR(IF(Prêt_Non_Payé*Valeurs_Entrées,Capital,""), "")</f>
        <v/>
      </c>
      <c r="G359" s="667" t="str">
        <f>IFERROR(IF(Prêt_Non_Payé*Valeurs_Entrées,Intérêts,""), "")</f>
        <v/>
      </c>
      <c r="H359" s="667" t="str">
        <f>IFERROR(IF(Prêt_Non_Payé*Valeurs_Entrées,Solde_Final,""), "")</f>
        <v/>
      </c>
    </row>
    <row r="360" spans="2:8" x14ac:dyDescent="0.2">
      <c r="B360" s="665" t="str">
        <f>IFERROR(IF(Prêt_Non_Payé*Valeurs_Entrées,Numéro_Paiement,""), "")</f>
        <v/>
      </c>
      <c r="C360" s="666" t="str">
        <f>IFERROR(IF(Prêt_Non_Payé*Valeurs_Entrées,Date_Paiement,""), "")</f>
        <v/>
      </c>
      <c r="D360" s="667" t="str">
        <f>IFERROR(IF(Prêt_Non_Payé*Valeurs_Entrées,Solde_Départ,""), "")</f>
        <v/>
      </c>
      <c r="E360" s="667" t="str">
        <f>IFERROR(IF(Prêt_Non_Payé*Valeurs_Entrées,Mensualité,""), "")</f>
        <v/>
      </c>
      <c r="F360" s="667" t="str">
        <f>IFERROR(IF(Prêt_Non_Payé*Valeurs_Entrées,Capital,""), "")</f>
        <v/>
      </c>
      <c r="G360" s="667" t="str">
        <f>IFERROR(IF(Prêt_Non_Payé*Valeurs_Entrées,Intérêts,""), "")</f>
        <v/>
      </c>
      <c r="H360" s="667" t="str">
        <f>IFERROR(IF(Prêt_Non_Payé*Valeurs_Entrées,Solde_Final,""), "")</f>
        <v/>
      </c>
    </row>
    <row r="361" spans="2:8" x14ac:dyDescent="0.2">
      <c r="B361" s="665" t="str">
        <f>IFERROR(IF(Prêt_Non_Payé*Valeurs_Entrées,Numéro_Paiement,""), "")</f>
        <v/>
      </c>
      <c r="C361" s="666" t="str">
        <f>IFERROR(IF(Prêt_Non_Payé*Valeurs_Entrées,Date_Paiement,""), "")</f>
        <v/>
      </c>
      <c r="D361" s="667" t="str">
        <f>IFERROR(IF(Prêt_Non_Payé*Valeurs_Entrées,Solde_Départ,""), "")</f>
        <v/>
      </c>
      <c r="E361" s="667" t="str">
        <f>IFERROR(IF(Prêt_Non_Payé*Valeurs_Entrées,Mensualité,""), "")</f>
        <v/>
      </c>
      <c r="F361" s="667" t="str">
        <f>IFERROR(IF(Prêt_Non_Payé*Valeurs_Entrées,Capital,""), "")</f>
        <v/>
      </c>
      <c r="G361" s="667" t="str">
        <f>IFERROR(IF(Prêt_Non_Payé*Valeurs_Entrées,Intérêts,""), "")</f>
        <v/>
      </c>
      <c r="H361" s="667" t="str">
        <f>IFERROR(IF(Prêt_Non_Payé*Valeurs_Entrées,Solde_Final,""), "")</f>
        <v/>
      </c>
    </row>
    <row r="362" spans="2:8" x14ac:dyDescent="0.2">
      <c r="B362" s="665" t="str">
        <f>IFERROR(IF(Prêt_Non_Payé*Valeurs_Entrées,Numéro_Paiement,""), "")</f>
        <v/>
      </c>
      <c r="C362" s="666" t="str">
        <f>IFERROR(IF(Prêt_Non_Payé*Valeurs_Entrées,Date_Paiement,""), "")</f>
        <v/>
      </c>
      <c r="D362" s="667" t="str">
        <f>IFERROR(IF(Prêt_Non_Payé*Valeurs_Entrées,Solde_Départ,""), "")</f>
        <v/>
      </c>
      <c r="E362" s="667" t="str">
        <f>IFERROR(IF(Prêt_Non_Payé*Valeurs_Entrées,Mensualité,""), "")</f>
        <v/>
      </c>
      <c r="F362" s="667" t="str">
        <f>IFERROR(IF(Prêt_Non_Payé*Valeurs_Entrées,Capital,""), "")</f>
        <v/>
      </c>
      <c r="G362" s="667" t="str">
        <f>IFERROR(IF(Prêt_Non_Payé*Valeurs_Entrées,Intérêts,""), "")</f>
        <v/>
      </c>
      <c r="H362" s="667" t="str">
        <f>IFERROR(IF(Prêt_Non_Payé*Valeurs_Entrées,Solde_Final,""), "")</f>
        <v/>
      </c>
    </row>
    <row r="363" spans="2:8" x14ac:dyDescent="0.2">
      <c r="B363" s="665" t="str">
        <f>IFERROR(IF(Prêt_Non_Payé*Valeurs_Entrées,Numéro_Paiement,""), "")</f>
        <v/>
      </c>
      <c r="C363" s="666" t="str">
        <f>IFERROR(IF(Prêt_Non_Payé*Valeurs_Entrées,Date_Paiement,""), "")</f>
        <v/>
      </c>
      <c r="D363" s="667" t="str">
        <f>IFERROR(IF(Prêt_Non_Payé*Valeurs_Entrées,Solde_Départ,""), "")</f>
        <v/>
      </c>
      <c r="E363" s="667" t="str">
        <f>IFERROR(IF(Prêt_Non_Payé*Valeurs_Entrées,Mensualité,""), "")</f>
        <v/>
      </c>
      <c r="F363" s="667" t="str">
        <f>IFERROR(IF(Prêt_Non_Payé*Valeurs_Entrées,Capital,""), "")</f>
        <v/>
      </c>
      <c r="G363" s="667" t="str">
        <f>IFERROR(IF(Prêt_Non_Payé*Valeurs_Entrées,Intérêts,""), "")</f>
        <v/>
      </c>
      <c r="H363" s="667" t="str">
        <f>IFERROR(IF(Prêt_Non_Payé*Valeurs_Entrées,Solde_Final,""), "")</f>
        <v/>
      </c>
    </row>
    <row r="364" spans="2:8" x14ac:dyDescent="0.2">
      <c r="B364" s="665" t="str">
        <f>IFERROR(IF(Prêt_Non_Payé*Valeurs_Entrées,Numéro_Paiement,""), "")</f>
        <v/>
      </c>
      <c r="C364" s="666" t="str">
        <f>IFERROR(IF(Prêt_Non_Payé*Valeurs_Entrées,Date_Paiement,""), "")</f>
        <v/>
      </c>
      <c r="D364" s="667" t="str">
        <f>IFERROR(IF(Prêt_Non_Payé*Valeurs_Entrées,Solde_Départ,""), "")</f>
        <v/>
      </c>
      <c r="E364" s="667" t="str">
        <f>IFERROR(IF(Prêt_Non_Payé*Valeurs_Entrées,Mensualité,""), "")</f>
        <v/>
      </c>
      <c r="F364" s="667" t="str">
        <f>IFERROR(IF(Prêt_Non_Payé*Valeurs_Entrées,Capital,""), "")</f>
        <v/>
      </c>
      <c r="G364" s="667" t="str">
        <f>IFERROR(IF(Prêt_Non_Payé*Valeurs_Entrées,Intérêts,""), "")</f>
        <v/>
      </c>
      <c r="H364" s="667" t="str">
        <f>IFERROR(IF(Prêt_Non_Payé*Valeurs_Entrées,Solde_Final,""), "")</f>
        <v/>
      </c>
    </row>
    <row r="365" spans="2:8" x14ac:dyDescent="0.2">
      <c r="B365" s="665" t="str">
        <f>IFERROR(IF(Prêt_Non_Payé*Valeurs_Entrées,Numéro_Paiement,""), "")</f>
        <v/>
      </c>
      <c r="C365" s="666" t="str">
        <f>IFERROR(IF(Prêt_Non_Payé*Valeurs_Entrées,Date_Paiement,""), "")</f>
        <v/>
      </c>
      <c r="D365" s="667" t="str">
        <f>IFERROR(IF(Prêt_Non_Payé*Valeurs_Entrées,Solde_Départ,""), "")</f>
        <v/>
      </c>
      <c r="E365" s="667" t="str">
        <f>IFERROR(IF(Prêt_Non_Payé*Valeurs_Entrées,Mensualité,""), "")</f>
        <v/>
      </c>
      <c r="F365" s="667" t="str">
        <f>IFERROR(IF(Prêt_Non_Payé*Valeurs_Entrées,Capital,""), "")</f>
        <v/>
      </c>
      <c r="G365" s="667" t="str">
        <f>IFERROR(IF(Prêt_Non_Payé*Valeurs_Entrées,Intérêts,""), "")</f>
        <v/>
      </c>
      <c r="H365" s="667" t="str">
        <f>IFERROR(IF(Prêt_Non_Payé*Valeurs_Entrées,Solde_Final,""), "")</f>
        <v/>
      </c>
    </row>
    <row r="366" spans="2:8" x14ac:dyDescent="0.2">
      <c r="B366" s="665" t="str">
        <f>IFERROR(IF(Prêt_Non_Payé*Valeurs_Entrées,Numéro_Paiement,""), "")</f>
        <v/>
      </c>
      <c r="C366" s="666" t="str">
        <f>IFERROR(IF(Prêt_Non_Payé*Valeurs_Entrées,Date_Paiement,""), "")</f>
        <v/>
      </c>
      <c r="D366" s="667" t="str">
        <f>IFERROR(IF(Prêt_Non_Payé*Valeurs_Entrées,Solde_Départ,""), "")</f>
        <v/>
      </c>
      <c r="E366" s="667" t="str">
        <f>IFERROR(IF(Prêt_Non_Payé*Valeurs_Entrées,Mensualité,""), "")</f>
        <v/>
      </c>
      <c r="F366" s="667" t="str">
        <f>IFERROR(IF(Prêt_Non_Payé*Valeurs_Entrées,Capital,""), "")</f>
        <v/>
      </c>
      <c r="G366" s="667" t="str">
        <f>IFERROR(IF(Prêt_Non_Payé*Valeurs_Entrées,Intérêts,""), "")</f>
        <v/>
      </c>
      <c r="H366" s="667" t="str">
        <f>IFERROR(IF(Prêt_Non_Payé*Valeurs_Entrées,Solde_Final,""), "")</f>
        <v/>
      </c>
    </row>
    <row r="367" spans="2:8" x14ac:dyDescent="0.2">
      <c r="B367" s="665" t="str">
        <f>IFERROR(IF(Prêt_Non_Payé*Valeurs_Entrées,Numéro_Paiement,""), "")</f>
        <v/>
      </c>
      <c r="C367" s="666" t="str">
        <f>IFERROR(IF(Prêt_Non_Payé*Valeurs_Entrées,Date_Paiement,""), "")</f>
        <v/>
      </c>
      <c r="D367" s="667" t="str">
        <f>IFERROR(IF(Prêt_Non_Payé*Valeurs_Entrées,Solde_Départ,""), "")</f>
        <v/>
      </c>
      <c r="E367" s="667" t="str">
        <f>IFERROR(IF(Prêt_Non_Payé*Valeurs_Entrées,Mensualité,""), "")</f>
        <v/>
      </c>
      <c r="F367" s="667" t="str">
        <f>IFERROR(IF(Prêt_Non_Payé*Valeurs_Entrées,Capital,""), "")</f>
        <v/>
      </c>
      <c r="G367" s="667" t="str">
        <f>IFERROR(IF(Prêt_Non_Payé*Valeurs_Entrées,Intérêts,""), "")</f>
        <v/>
      </c>
      <c r="H367" s="667" t="str">
        <f>IFERROR(IF(Prêt_Non_Payé*Valeurs_Entrées,Solde_Final,""), "")</f>
        <v/>
      </c>
    </row>
    <row r="368" spans="2:8" x14ac:dyDescent="0.2">
      <c r="B368" s="665" t="str">
        <f>IFERROR(IF(Prêt_Non_Payé*Valeurs_Entrées,Numéro_Paiement,""), "")</f>
        <v/>
      </c>
      <c r="C368" s="666" t="str">
        <f>IFERROR(IF(Prêt_Non_Payé*Valeurs_Entrées,Date_Paiement,""), "")</f>
        <v/>
      </c>
      <c r="D368" s="667" t="str">
        <f>IFERROR(IF(Prêt_Non_Payé*Valeurs_Entrées,Solde_Départ,""), "")</f>
        <v/>
      </c>
      <c r="E368" s="667" t="str">
        <f>IFERROR(IF(Prêt_Non_Payé*Valeurs_Entrées,Mensualité,""), "")</f>
        <v/>
      </c>
      <c r="F368" s="667" t="str">
        <f>IFERROR(IF(Prêt_Non_Payé*Valeurs_Entrées,Capital,""), "")</f>
        <v/>
      </c>
      <c r="G368" s="667" t="str">
        <f>IFERROR(IF(Prêt_Non_Payé*Valeurs_Entrées,Intérêts,""), "")</f>
        <v/>
      </c>
      <c r="H368" s="667" t="str">
        <f>IFERROR(IF(Prêt_Non_Payé*Valeurs_Entrées,Solde_Final,""), "")</f>
        <v/>
      </c>
    </row>
    <row r="369" spans="2:8" x14ac:dyDescent="0.2">
      <c r="B369" s="665" t="str">
        <f>IFERROR(IF(Prêt_Non_Payé*Valeurs_Entrées,Numéro_Paiement,""), "")</f>
        <v/>
      </c>
      <c r="C369" s="666" t="str">
        <f>IFERROR(IF(Prêt_Non_Payé*Valeurs_Entrées,Date_Paiement,""), "")</f>
        <v/>
      </c>
      <c r="D369" s="667" t="str">
        <f>IFERROR(IF(Prêt_Non_Payé*Valeurs_Entrées,Solde_Départ,""), "")</f>
        <v/>
      </c>
      <c r="E369" s="667" t="str">
        <f>IFERROR(IF(Prêt_Non_Payé*Valeurs_Entrées,Mensualité,""), "")</f>
        <v/>
      </c>
      <c r="F369" s="667" t="str">
        <f>IFERROR(IF(Prêt_Non_Payé*Valeurs_Entrées,Capital,""), "")</f>
        <v/>
      </c>
      <c r="G369" s="667" t="str">
        <f>IFERROR(IF(Prêt_Non_Payé*Valeurs_Entrées,Intérêts,""), "")</f>
        <v/>
      </c>
      <c r="H369" s="667" t="str">
        <f>IFERROR(IF(Prêt_Non_Payé*Valeurs_Entrées,Solde_Final,""), "")</f>
        <v/>
      </c>
    </row>
    <row r="370" spans="2:8" x14ac:dyDescent="0.2">
      <c r="B370" s="665" t="str">
        <f>IFERROR(IF(Prêt_Non_Payé*Valeurs_Entrées,Numéro_Paiement,""), "")</f>
        <v/>
      </c>
      <c r="C370" s="666" t="str">
        <f>IFERROR(IF(Prêt_Non_Payé*Valeurs_Entrées,Date_Paiement,""), "")</f>
        <v/>
      </c>
      <c r="D370" s="667" t="str">
        <f>IFERROR(IF(Prêt_Non_Payé*Valeurs_Entrées,Solde_Départ,""), "")</f>
        <v/>
      </c>
      <c r="E370" s="667" t="str">
        <f>IFERROR(IF(Prêt_Non_Payé*Valeurs_Entrées,Mensualité,""), "")</f>
        <v/>
      </c>
      <c r="F370" s="667" t="str">
        <f>IFERROR(IF(Prêt_Non_Payé*Valeurs_Entrées,Capital,""), "")</f>
        <v/>
      </c>
      <c r="G370" s="667" t="str">
        <f>IFERROR(IF(Prêt_Non_Payé*Valeurs_Entrées,Intérêts,""), "")</f>
        <v/>
      </c>
      <c r="H370" s="667" t="str">
        <f>IFERROR(IF(Prêt_Non_Payé*Valeurs_Entrées,Solde_Final,""), "")</f>
        <v/>
      </c>
    </row>
    <row r="371" spans="2:8" x14ac:dyDescent="0.2">
      <c r="B371" s="665" t="str">
        <f>IFERROR(IF(Prêt_Non_Payé*Valeurs_Entrées,Numéro_Paiement,""), "")</f>
        <v/>
      </c>
      <c r="C371" s="666" t="str">
        <f>IFERROR(IF(Prêt_Non_Payé*Valeurs_Entrées,Date_Paiement,""), "")</f>
        <v/>
      </c>
      <c r="D371" s="667" t="str">
        <f>IFERROR(IF(Prêt_Non_Payé*Valeurs_Entrées,Solde_Départ,""), "")</f>
        <v/>
      </c>
      <c r="E371" s="667" t="str">
        <f>IFERROR(IF(Prêt_Non_Payé*Valeurs_Entrées,Mensualité,""), "")</f>
        <v/>
      </c>
      <c r="F371" s="667" t="str">
        <f>IFERROR(IF(Prêt_Non_Payé*Valeurs_Entrées,Capital,""), "")</f>
        <v/>
      </c>
      <c r="G371" s="667" t="str">
        <f>IFERROR(IF(Prêt_Non_Payé*Valeurs_Entrées,Intérêts,""), "")</f>
        <v/>
      </c>
      <c r="H371" s="667" t="str">
        <f>IFERROR(IF(Prêt_Non_Payé*Valeurs_Entrées,Solde_Final,""), "")</f>
        <v/>
      </c>
    </row>
    <row r="372" spans="2:8" x14ac:dyDescent="0.2">
      <c r="B372" s="665" t="str">
        <f>IFERROR(IF(Prêt_Non_Payé*Valeurs_Entrées,Numéro_Paiement,""), "")</f>
        <v/>
      </c>
      <c r="C372" s="666" t="str">
        <f>IFERROR(IF(Prêt_Non_Payé*Valeurs_Entrées,Date_Paiement,""), "")</f>
        <v/>
      </c>
      <c r="D372" s="667" t="str">
        <f>IFERROR(IF(Prêt_Non_Payé*Valeurs_Entrées,Solde_Départ,""), "")</f>
        <v/>
      </c>
      <c r="E372" s="667" t="str">
        <f>IFERROR(IF(Prêt_Non_Payé*Valeurs_Entrées,Mensualité,""), "")</f>
        <v/>
      </c>
      <c r="F372" s="667" t="str">
        <f>IFERROR(IF(Prêt_Non_Payé*Valeurs_Entrées,Capital,""), "")</f>
        <v/>
      </c>
      <c r="G372" s="667" t="str">
        <f>IFERROR(IF(Prêt_Non_Payé*Valeurs_Entrées,Intérêts,""), "")</f>
        <v/>
      </c>
      <c r="H372" s="667" t="str">
        <f>IFERROR(IF(Prêt_Non_Payé*Valeurs_Entrées,Solde_Final,""), "")</f>
        <v/>
      </c>
    </row>
  </sheetData>
  <mergeCells count="9">
    <mergeCell ref="B9:D9"/>
    <mergeCell ref="B10:D10"/>
    <mergeCell ref="B11:D11"/>
    <mergeCell ref="B2:E2"/>
    <mergeCell ref="B3:D3"/>
    <mergeCell ref="B4:D4"/>
    <mergeCell ref="B5:D5"/>
    <mergeCell ref="B6:D6"/>
    <mergeCell ref="B8:D8"/>
  </mergeCells>
  <conditionalFormatting sqref="C13:G372">
    <cfRule type="expression" dxfId="15" priority="1" stopIfTrue="1">
      <formula>NOT(Loan_Not_Paid)</formula>
    </cfRule>
    <cfRule type="expression" dxfId="14" priority="2" stopIfTrue="1">
      <formula>IF(ROW(C13)=Last_Row,TRUE,FALSE)</formula>
    </cfRule>
  </conditionalFormatting>
  <conditionalFormatting sqref="B13:B372">
    <cfRule type="expression" dxfId="13" priority="3" stopIfTrue="1">
      <formula>NOT(Loan_Not_Paid)</formula>
    </cfRule>
    <cfRule type="expression" dxfId="12" priority="4" stopIfTrue="1">
      <formula>IF(ROW(B13)=Last_Row,TRUE,FALSE)</formula>
    </cfRule>
  </conditionalFormatting>
  <conditionalFormatting sqref="H13:H372">
    <cfRule type="expression" dxfId="11" priority="5" stopIfTrue="1">
      <formula>NOT(Loan_Not_Paid)</formula>
    </cfRule>
    <cfRule type="expression" dxfId="10" priority="6" stopIfTrue="1">
      <formula>IF(ROW(H13)=Last_Row,TRUE,FALSE)</formula>
    </cfRule>
  </conditionalFormatting>
  <dataValidations count="26">
    <dataValidation allowBlank="1" showInputMessage="1" showErrorMessage="1" prompt="Entrez le taux d’intérêt annuel dans cette cellule." sqref="E4" xr:uid="{00000000-0002-0000-0F00-000000000000}"/>
    <dataValidation allowBlank="1" showInputMessage="1" showErrorMessage="1" prompt="Le solde final est automatiquement mis à jour dans cette colonne sous ce titre." sqref="H12" xr:uid="{00000000-0002-0000-0F00-000001000000}"/>
    <dataValidation allowBlank="1" showInputMessage="1" showErrorMessage="1" prompt="Le montant des intérêts est mis à jour automatiquement dans cette colonne sous ce titre." sqref="G12" xr:uid="{00000000-0002-0000-0F00-000002000000}"/>
    <dataValidation allowBlank="1" showInputMessage="1" showErrorMessage="1" prompt="Le montant du capital est mis à jour automatiquement dans cette colonne sous ce titre." sqref="F12" xr:uid="{00000000-0002-0000-0F00-000003000000}"/>
    <dataValidation allowBlank="1" showInputMessage="1" showErrorMessage="1" prompt="Le montant du paiement est calculé automatiquement dans cette colonne sous ce titre." sqref="E12" xr:uid="{00000000-0002-0000-0F00-000004000000}"/>
    <dataValidation allowBlank="1" showInputMessage="1" showErrorMessage="1" prompt="Le solde de départ est calculé automatiquement dans cette colonne sous ce titre" sqref="D12" xr:uid="{00000000-0002-0000-0F00-000005000000}"/>
    <dataValidation allowBlank="1" showInputMessage="1" showErrorMessage="1" prompt="La date de paiement est mise à jour automatiquement dans cette colonne sous ce titre." sqref="C12" xr:uid="{00000000-0002-0000-0F00-000006000000}"/>
    <dataValidation allowBlank="1" showInputMessage="1" showErrorMessage="1" prompt="Le numéro de paiement est mis à jour automatiquement dans cette colonne sous ce titre." sqref="B12" xr:uid="{00000000-0002-0000-0F00-000007000000}"/>
    <dataValidation allowBlank="1" showInputMessage="1" showErrorMessage="1" prompt="Entrez des valeurs dans les cellules E3 à E6 pour chaque description dans la colonne B. Les valeurs des cellules E8 à E11 sont calculées automatiquement." sqref="B2" xr:uid="{00000000-0002-0000-0F00-000008000000}"/>
    <dataValidation allowBlank="1" showInputMessage="1" showErrorMessage="1" prompt="Le coût total du prêt est calculé automatiquement dans cette cellule." sqref="E11" xr:uid="{00000000-0002-0000-0F00-000009000000}"/>
    <dataValidation allowBlank="1" showInputMessage="1" showErrorMessage="1" prompt="Le coût total du prêt est calculé automatiquement dans la cellule à droite." sqref="B11:D11" xr:uid="{00000000-0002-0000-0F00-00000A000000}"/>
    <dataValidation allowBlank="1" showInputMessage="1" showErrorMessage="1" prompt="Le total des intérêts est calculé automatiquement dans cette cellule." sqref="E10" xr:uid="{00000000-0002-0000-0F00-00000B000000}"/>
    <dataValidation allowBlank="1" showInputMessage="1" showErrorMessage="1" prompt="Le total des intérêts est calculé automatiquement dans la cellule à droite." sqref="B10:D10" xr:uid="{00000000-0002-0000-0F00-00000C000000}"/>
    <dataValidation allowBlank="1" showInputMessage="1" showErrorMessage="1" prompt="Le nombre de paiements est calculé automatiquement dans cette cellule." sqref="E9" xr:uid="{00000000-0002-0000-0F00-00000D000000}"/>
    <dataValidation allowBlank="1" showInputMessage="1" showErrorMessage="1" prompt="Le nombre de paiements est calculé automatiquement dans la cellule à droite." sqref="B9:D9" xr:uid="{00000000-0002-0000-0F00-00000E000000}"/>
    <dataValidation allowBlank="1" showInputMessage="1" showErrorMessage="1" prompt="La mensualité est calculée automatiquement dans cette cellule." sqref="E8" xr:uid="{00000000-0002-0000-0F00-00000F000000}"/>
    <dataValidation allowBlank="1" showInputMessage="1" showErrorMessage="1" prompt="La mensualité est calculée automatiquement dans la cellule à droite." sqref="B8:D8" xr:uid="{00000000-0002-0000-0F00-000010000000}"/>
    <dataValidation allowBlank="1" showInputMessage="1" showErrorMessage="1" prompt="Entrez la date de début du prêt dans cette cellule." sqref="E6" xr:uid="{00000000-0002-0000-0F00-000011000000}"/>
    <dataValidation allowBlank="1" showInputMessage="1" showErrorMessage="1" prompt="Entrez la date de début du prêt dans la cellule à droite." sqref="B6:D6" xr:uid="{00000000-0002-0000-0F00-000012000000}"/>
    <dataValidation allowBlank="1" showInputMessage="1" showErrorMessage="1" prompt="Entrez la durée du prêt en années dans cette cellule." sqref="E5" xr:uid="{00000000-0002-0000-0F00-000013000000}"/>
    <dataValidation allowBlank="1" showInputMessage="1" showErrorMessage="1" prompt="Entrez la durée du prêt en années dans la cellule à droite." sqref="B5:D5" xr:uid="{00000000-0002-0000-0F00-000014000000}"/>
    <dataValidation allowBlank="1" showInputMessage="1" showErrorMessage="1" prompt="Entrez le taux d’intérêt annuel dans la cellule à droite." sqref="B4:D4" xr:uid="{00000000-0002-0000-0F00-000015000000}"/>
    <dataValidation allowBlank="1" showInputMessage="1" showErrorMessage="1" prompt="Entrez le montant du prêt dans cette cellule." sqref="E3" xr:uid="{00000000-0002-0000-0F00-000016000000}"/>
    <dataValidation allowBlank="1" showInputMessage="1" showErrorMessage="1" prompt="Entrez le montant du prêt dans la cellule à droite." sqref="B3:D3" xr:uid="{00000000-0002-0000-0F00-000017000000}"/>
    <dataValidation allowBlank="1" showInputMessage="1" showErrorMessage="1" prompt="Le titre de la feuille de calcul figure dans cette cellule. Entrez les valeurs du prêt dans les cellules E3 à E6. Le récapitulatif du prêt dans les cellules E8 à E11 et la table Prêt sont mis à jour automatiquement." sqref="B1" xr:uid="{00000000-0002-0000-0F00-000018000000}"/>
    <dataValidation allowBlank="1" showInputMessage="1" showErrorMessage="1" prompt="Créez un plan de remboursement de prêt à l’aide de cette feuille de calcul Calculateur de prêt et tableau d’amortissement. Le total des intérêts et des paiements est calculé automatiquement." sqref="A1" xr:uid="{00000000-0002-0000-0F00-000019000000}"/>
  </dataValidations>
  <printOptions horizontalCentered="1"/>
  <pageMargins left="0.5" right="0.5" top="1" bottom="1" header="0.5" footer="0.5"/>
  <pageSetup paperSize="9" scale="97" fitToHeight="0" orientation="portrait" r:id="rId1"/>
  <headerFooter differentFirst="1">
    <oddFooter>Page &amp;P of &amp;N</oddFooter>
  </headerFooter>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6"/>
  <dimension ref="A1:C83"/>
  <sheetViews>
    <sheetView workbookViewId="0"/>
  </sheetViews>
  <sheetFormatPr baseColWidth="10" defaultColWidth="11.5" defaultRowHeight="14" x14ac:dyDescent="0.2"/>
  <cols>
    <col min="1" max="1" width="14.5" style="398" customWidth="1"/>
    <col min="2" max="2" width="44.33203125" style="398" bestFit="1" customWidth="1"/>
    <col min="3" max="3" width="20.1640625" style="398" customWidth="1"/>
    <col min="4" max="16384" width="11.5" style="398"/>
  </cols>
  <sheetData>
    <row r="1" spans="1:3" ht="18" x14ac:dyDescent="0.2">
      <c r="B1" s="399" t="s">
        <v>563</v>
      </c>
      <c r="C1" s="400" t="s">
        <v>564</v>
      </c>
    </row>
    <row r="2" spans="1:3" ht="15" x14ac:dyDescent="0.2">
      <c r="C2" s="401">
        <v>1.0317569870705579</v>
      </c>
    </row>
    <row r="3" spans="1:3" x14ac:dyDescent="0.2">
      <c r="C3" s="402"/>
    </row>
    <row r="4" spans="1:3" ht="30" x14ac:dyDescent="0.2">
      <c r="A4" s="403" t="s">
        <v>507</v>
      </c>
      <c r="B4" s="404" t="s">
        <v>565</v>
      </c>
      <c r="C4" s="405" t="s">
        <v>566</v>
      </c>
    </row>
    <row r="5" spans="1:3" ht="15" x14ac:dyDescent="0.2">
      <c r="A5" s="403" t="s">
        <v>567</v>
      </c>
      <c r="B5" s="398" t="s">
        <v>568</v>
      </c>
      <c r="C5" s="406">
        <v>46654.572129566193</v>
      </c>
    </row>
    <row r="6" spans="1:3" ht="15" x14ac:dyDescent="0.2">
      <c r="A6" s="403" t="s">
        <v>569</v>
      </c>
      <c r="B6" s="398" t="s">
        <v>570</v>
      </c>
      <c r="C6" s="406">
        <v>52850.046586718599</v>
      </c>
    </row>
    <row r="7" spans="1:3" ht="15" x14ac:dyDescent="0.2">
      <c r="A7" s="403" t="s">
        <v>571</v>
      </c>
      <c r="B7" s="398" t="s">
        <v>572</v>
      </c>
      <c r="C7" s="406">
        <v>52963.914834910247</v>
      </c>
    </row>
    <row r="8" spans="1:3" ht="15" x14ac:dyDescent="0.2">
      <c r="A8" s="403" t="s">
        <v>573</v>
      </c>
      <c r="B8" s="398" t="s">
        <v>574</v>
      </c>
      <c r="C8" s="406">
        <v>59786.959855417452</v>
      </c>
    </row>
    <row r="9" spans="1:3" ht="15" x14ac:dyDescent="0.2">
      <c r="A9" s="403" t="s">
        <v>575</v>
      </c>
      <c r="B9" s="407" t="s">
        <v>576</v>
      </c>
      <c r="C9" s="406">
        <v>2836.7996035947403</v>
      </c>
    </row>
    <row r="10" spans="1:3" ht="15" x14ac:dyDescent="0.2">
      <c r="A10" s="403" t="s">
        <v>577</v>
      </c>
      <c r="B10" s="398" t="s">
        <v>578</v>
      </c>
      <c r="C10" s="406">
        <v>73709.933538977144</v>
      </c>
    </row>
    <row r="11" spans="1:3" ht="15" x14ac:dyDescent="0.2">
      <c r="A11" s="403" t="s">
        <v>579</v>
      </c>
      <c r="B11" s="398" t="s">
        <v>580</v>
      </c>
      <c r="C11" s="406">
        <v>50087.028469310484</v>
      </c>
    </row>
    <row r="12" spans="1:3" ht="15" x14ac:dyDescent="0.2">
      <c r="A12" s="403" t="s">
        <v>581</v>
      </c>
      <c r="B12" s="398" t="s">
        <v>582</v>
      </c>
      <c r="C12" s="406">
        <v>10359.032104976694</v>
      </c>
    </row>
    <row r="13" spans="1:3" ht="15" x14ac:dyDescent="0.2">
      <c r="A13" s="403" t="s">
        <v>583</v>
      </c>
      <c r="B13" s="398" t="s">
        <v>584</v>
      </c>
      <c r="C13" s="406">
        <v>51684.453419839272</v>
      </c>
    </row>
    <row r="14" spans="1:3" ht="15" x14ac:dyDescent="0.2">
      <c r="A14" s="403" t="s">
        <v>312</v>
      </c>
      <c r="B14" s="398" t="s">
        <v>585</v>
      </c>
      <c r="C14" s="406">
        <v>54825.026046153464</v>
      </c>
    </row>
    <row r="15" spans="1:3" ht="15" x14ac:dyDescent="0.2">
      <c r="A15" s="403" t="s">
        <v>305</v>
      </c>
      <c r="B15" s="398" t="s">
        <v>586</v>
      </c>
      <c r="C15" s="406">
        <v>45985.989509154366</v>
      </c>
    </row>
    <row r="16" spans="1:3" ht="15" x14ac:dyDescent="0.2">
      <c r="A16" s="403" t="s">
        <v>587</v>
      </c>
      <c r="B16" s="408" t="s">
        <v>588</v>
      </c>
      <c r="C16" s="406">
        <v>65520.480964039954</v>
      </c>
    </row>
    <row r="17" spans="1:3" ht="15" x14ac:dyDescent="0.2">
      <c r="A17" s="403" t="s">
        <v>589</v>
      </c>
      <c r="B17" s="398" t="s">
        <v>590</v>
      </c>
      <c r="C17" s="406">
        <v>53770.644752944238</v>
      </c>
    </row>
    <row r="18" spans="1:3" ht="15" x14ac:dyDescent="0.2">
      <c r="A18" s="403" t="s">
        <v>591</v>
      </c>
      <c r="B18" s="408" t="s">
        <v>592</v>
      </c>
      <c r="C18" s="406">
        <v>58182.555322641834</v>
      </c>
    </row>
    <row r="19" spans="1:3" ht="15" x14ac:dyDescent="0.2">
      <c r="A19" s="403" t="s">
        <v>593</v>
      </c>
      <c r="B19" s="398" t="s">
        <v>594</v>
      </c>
      <c r="C19" s="406">
        <v>87579.765720989075</v>
      </c>
    </row>
    <row r="20" spans="1:3" ht="15" x14ac:dyDescent="0.2">
      <c r="A20" s="403" t="s">
        <v>595</v>
      </c>
      <c r="B20" s="398" t="s">
        <v>596</v>
      </c>
      <c r="C20" s="406">
        <v>44986.693625731619</v>
      </c>
    </row>
    <row r="21" spans="1:3" ht="15" x14ac:dyDescent="0.2">
      <c r="A21" s="403" t="s">
        <v>597</v>
      </c>
      <c r="B21" s="398" t="s">
        <v>598</v>
      </c>
      <c r="C21" s="406">
        <v>15932.336396061512</v>
      </c>
    </row>
    <row r="22" spans="1:3" ht="15" x14ac:dyDescent="0.2">
      <c r="A22" s="403" t="s">
        <v>599</v>
      </c>
      <c r="B22" s="398" t="s">
        <v>600</v>
      </c>
      <c r="C22" s="406">
        <v>77187.864937905048</v>
      </c>
    </row>
    <row r="23" spans="1:3" ht="15" x14ac:dyDescent="0.2">
      <c r="A23" s="403" t="s">
        <v>601</v>
      </c>
      <c r="B23" s="398" t="s">
        <v>602</v>
      </c>
      <c r="C23" s="406">
        <v>55007.22957627799</v>
      </c>
    </row>
    <row r="24" spans="1:3" ht="15" x14ac:dyDescent="0.2">
      <c r="A24" s="403" t="s">
        <v>603</v>
      </c>
      <c r="B24" s="408" t="s">
        <v>604</v>
      </c>
      <c r="C24" s="406">
        <v>115204.96253023893</v>
      </c>
    </row>
    <row r="25" spans="1:3" ht="15" x14ac:dyDescent="0.2">
      <c r="A25" s="403" t="s">
        <v>605</v>
      </c>
      <c r="B25" s="398" t="s">
        <v>606</v>
      </c>
      <c r="C25" s="406">
        <v>80514.747390524091</v>
      </c>
    </row>
    <row r="26" spans="1:3" ht="15" x14ac:dyDescent="0.2">
      <c r="A26" s="403" t="s">
        <v>607</v>
      </c>
      <c r="B26" s="398" t="s">
        <v>608</v>
      </c>
      <c r="C26" s="406">
        <v>94729.920205545932</v>
      </c>
    </row>
    <row r="27" spans="1:3" ht="15" x14ac:dyDescent="0.2">
      <c r="A27" s="403" t="s">
        <v>609</v>
      </c>
      <c r="B27" s="398" t="s">
        <v>610</v>
      </c>
      <c r="C27" s="406">
        <v>97100.244117755239</v>
      </c>
    </row>
    <row r="28" spans="1:3" ht="15" x14ac:dyDescent="0.2">
      <c r="A28" s="403" t="s">
        <v>611</v>
      </c>
      <c r="B28" s="398" t="s">
        <v>612</v>
      </c>
      <c r="C28" s="406">
        <v>52177.202131324317</v>
      </c>
    </row>
    <row r="29" spans="1:3" ht="15" x14ac:dyDescent="0.2">
      <c r="A29" s="403" t="s">
        <v>613</v>
      </c>
      <c r="B29" s="398" t="s">
        <v>614</v>
      </c>
      <c r="C29" s="406">
        <v>154975.8275803391</v>
      </c>
    </row>
    <row r="30" spans="1:3" ht="15" x14ac:dyDescent="0.2">
      <c r="A30" s="403" t="s">
        <v>615</v>
      </c>
      <c r="B30" s="398" t="s">
        <v>616</v>
      </c>
      <c r="C30" s="406">
        <v>170079.83092888299</v>
      </c>
    </row>
    <row r="31" spans="1:3" ht="15" x14ac:dyDescent="0.2">
      <c r="A31" s="403" t="s">
        <v>617</v>
      </c>
      <c r="B31" s="398" t="s">
        <v>618</v>
      </c>
      <c r="C31" s="406">
        <v>58381.527532611799</v>
      </c>
    </row>
    <row r="32" spans="1:3" ht="15" x14ac:dyDescent="0.2">
      <c r="A32" s="403" t="s">
        <v>619</v>
      </c>
      <c r="B32" s="407" t="s">
        <v>620</v>
      </c>
      <c r="C32" s="406">
        <v>343.99984928418451</v>
      </c>
    </row>
    <row r="33" spans="1:3" ht="15" x14ac:dyDescent="0.2">
      <c r="A33" s="403" t="s">
        <v>621</v>
      </c>
      <c r="B33" s="407" t="s">
        <v>622</v>
      </c>
      <c r="C33" s="406">
        <v>14893.158506773212</v>
      </c>
    </row>
    <row r="34" spans="1:3" ht="15" x14ac:dyDescent="0.2">
      <c r="A34" s="403" t="s">
        <v>302</v>
      </c>
      <c r="B34" s="398" t="s">
        <v>623</v>
      </c>
      <c r="C34" s="406">
        <v>78126.533665218114</v>
      </c>
    </row>
    <row r="35" spans="1:3" ht="15" x14ac:dyDescent="0.2">
      <c r="A35" s="403" t="s">
        <v>624</v>
      </c>
      <c r="B35" s="398" t="s">
        <v>625</v>
      </c>
      <c r="C35" s="406">
        <v>75283.162244015388</v>
      </c>
    </row>
    <row r="36" spans="1:3" ht="15" x14ac:dyDescent="0.2">
      <c r="A36" s="403" t="s">
        <v>626</v>
      </c>
      <c r="B36" s="398" t="s">
        <v>627</v>
      </c>
      <c r="C36" s="406">
        <v>59984.858534343548</v>
      </c>
    </row>
    <row r="37" spans="1:3" ht="15" x14ac:dyDescent="0.2">
      <c r="A37" s="403" t="s">
        <v>628</v>
      </c>
      <c r="B37" s="398" t="s">
        <v>629</v>
      </c>
      <c r="C37" s="406">
        <v>75107.246144855322</v>
      </c>
    </row>
    <row r="38" spans="1:3" ht="15" x14ac:dyDescent="0.2">
      <c r="A38" s="403" t="s">
        <v>630</v>
      </c>
      <c r="B38" s="409" t="s">
        <v>631</v>
      </c>
      <c r="C38" s="406">
        <v>53058.497940154761</v>
      </c>
    </row>
    <row r="39" spans="1:3" ht="15" x14ac:dyDescent="0.2">
      <c r="A39" s="403" t="s">
        <v>632</v>
      </c>
      <c r="B39" s="398" t="s">
        <v>633</v>
      </c>
      <c r="C39" s="406">
        <v>144829.1871572856</v>
      </c>
    </row>
    <row r="40" spans="1:3" ht="15" x14ac:dyDescent="0.2">
      <c r="A40" s="403" t="s">
        <v>634</v>
      </c>
      <c r="B40" s="398" t="s">
        <v>635</v>
      </c>
      <c r="C40" s="406">
        <v>52863.027109950119</v>
      </c>
    </row>
    <row r="41" spans="1:3" ht="15" x14ac:dyDescent="0.2">
      <c r="A41" s="403" t="s">
        <v>636</v>
      </c>
      <c r="B41" s="398" t="s">
        <v>637</v>
      </c>
      <c r="C41" s="406">
        <v>60345.19046825148</v>
      </c>
    </row>
    <row r="42" spans="1:3" ht="15" x14ac:dyDescent="0.2">
      <c r="A42" s="403" t="s">
        <v>638</v>
      </c>
      <c r="B42" s="398" t="s">
        <v>639</v>
      </c>
      <c r="C42" s="406">
        <v>59532.340717638319</v>
      </c>
    </row>
    <row r="43" spans="1:3" ht="15" x14ac:dyDescent="0.2">
      <c r="A43" s="403" t="s">
        <v>640</v>
      </c>
      <c r="B43" s="398" t="s">
        <v>641</v>
      </c>
      <c r="C43" s="406">
        <v>343.30681987785744</v>
      </c>
    </row>
    <row r="44" spans="1:3" ht="15" x14ac:dyDescent="0.2">
      <c r="A44" s="403" t="s">
        <v>642</v>
      </c>
      <c r="B44" s="398" t="s">
        <v>643</v>
      </c>
      <c r="C44" s="406">
        <v>49205.679113649232</v>
      </c>
    </row>
    <row r="45" spans="1:3" ht="15" x14ac:dyDescent="0.2">
      <c r="A45" s="403" t="s">
        <v>644</v>
      </c>
      <c r="B45" s="398" t="s">
        <v>645</v>
      </c>
      <c r="C45" s="406">
        <v>45131.093897911182</v>
      </c>
    </row>
    <row r="46" spans="1:3" ht="15" x14ac:dyDescent="0.2">
      <c r="A46" s="403" t="s">
        <v>646</v>
      </c>
      <c r="B46" s="398" t="s">
        <v>647</v>
      </c>
      <c r="C46" s="406">
        <v>47142.633030848599</v>
      </c>
    </row>
    <row r="47" spans="1:3" ht="15" x14ac:dyDescent="0.2">
      <c r="A47" s="403" t="s">
        <v>648</v>
      </c>
      <c r="B47" s="398" t="s">
        <v>649</v>
      </c>
      <c r="C47" s="406">
        <v>44542.888834971673</v>
      </c>
    </row>
    <row r="48" spans="1:3" ht="15" x14ac:dyDescent="0.2">
      <c r="A48" s="403" t="s">
        <v>650</v>
      </c>
      <c r="B48" s="398" t="s">
        <v>651</v>
      </c>
      <c r="C48" s="406">
        <v>48906.459596817578</v>
      </c>
    </row>
    <row r="49" spans="1:3" ht="15" x14ac:dyDescent="0.2">
      <c r="A49" s="403" t="s">
        <v>652</v>
      </c>
      <c r="B49" s="398" t="s">
        <v>653</v>
      </c>
      <c r="C49" s="406">
        <v>57156.702107058351</v>
      </c>
    </row>
    <row r="50" spans="1:3" ht="15" x14ac:dyDescent="0.2">
      <c r="A50" s="403" t="s">
        <v>654</v>
      </c>
      <c r="B50" s="398" t="s">
        <v>655</v>
      </c>
      <c r="C50" s="406">
        <v>61478.477376923525</v>
      </c>
    </row>
    <row r="51" spans="1:3" ht="15" x14ac:dyDescent="0.2">
      <c r="A51" s="403" t="s">
        <v>656</v>
      </c>
      <c r="B51" s="398" t="s">
        <v>657</v>
      </c>
      <c r="C51" s="406">
        <v>65674.822896927697</v>
      </c>
    </row>
    <row r="52" spans="1:3" ht="15" x14ac:dyDescent="0.2">
      <c r="A52" s="403" t="s">
        <v>658</v>
      </c>
      <c r="B52" s="398" t="s">
        <v>659</v>
      </c>
      <c r="C52" s="406">
        <v>62050.27790521818</v>
      </c>
    </row>
    <row r="53" spans="1:3" ht="15" x14ac:dyDescent="0.2">
      <c r="A53" s="403" t="s">
        <v>660</v>
      </c>
      <c r="B53" s="398" t="s">
        <v>661</v>
      </c>
      <c r="C53" s="406">
        <v>117771.776002251</v>
      </c>
    </row>
    <row r="54" spans="1:3" ht="15" x14ac:dyDescent="0.2">
      <c r="A54" s="403" t="s">
        <v>662</v>
      </c>
      <c r="B54" s="398" t="s">
        <v>663</v>
      </c>
      <c r="C54" s="406">
        <v>76706.421208209562</v>
      </c>
    </row>
    <row r="55" spans="1:3" ht="15" x14ac:dyDescent="0.2">
      <c r="A55" s="403" t="s">
        <v>306</v>
      </c>
      <c r="B55" s="398" t="s">
        <v>664</v>
      </c>
      <c r="C55" s="406">
        <v>59828.844587216925</v>
      </c>
    </row>
    <row r="56" spans="1:3" ht="15" x14ac:dyDescent="0.2">
      <c r="A56" s="403" t="s">
        <v>665</v>
      </c>
      <c r="B56" s="398" t="s">
        <v>666</v>
      </c>
      <c r="C56" s="406">
        <v>66736.348524842222</v>
      </c>
    </row>
    <row r="57" spans="1:3" ht="15" x14ac:dyDescent="0.2">
      <c r="A57" s="403" t="s">
        <v>667</v>
      </c>
      <c r="B57" s="408" t="s">
        <v>668</v>
      </c>
      <c r="C57" s="406">
        <v>96895.40742638144</v>
      </c>
    </row>
    <row r="58" spans="1:3" ht="15" x14ac:dyDescent="0.2">
      <c r="A58" s="403" t="s">
        <v>669</v>
      </c>
      <c r="B58" s="408" t="s">
        <v>670</v>
      </c>
      <c r="C58" s="406">
        <v>148462.91322357318</v>
      </c>
    </row>
    <row r="59" spans="1:3" ht="15" x14ac:dyDescent="0.2">
      <c r="A59" s="403" t="s">
        <v>671</v>
      </c>
      <c r="B59" s="398" t="s">
        <v>672</v>
      </c>
      <c r="C59" s="406">
        <v>60966.717932509295</v>
      </c>
    </row>
    <row r="60" spans="1:3" x14ac:dyDescent="0.2">
      <c r="A60" s="403" t="s">
        <v>673</v>
      </c>
      <c r="B60" s="403"/>
    </row>
    <row r="61" spans="1:3" x14ac:dyDescent="0.2">
      <c r="C61" s="410"/>
    </row>
    <row r="62" spans="1:3" ht="15" x14ac:dyDescent="0.2">
      <c r="A62" s="411" t="s">
        <v>674</v>
      </c>
      <c r="B62" s="411"/>
    </row>
    <row r="64" spans="1:3" ht="15" x14ac:dyDescent="0.2">
      <c r="A64" s="412" t="s">
        <v>675</v>
      </c>
    </row>
    <row r="66" spans="1:3" ht="15" x14ac:dyDescent="0.2">
      <c r="A66" s="413" t="s">
        <v>676</v>
      </c>
      <c r="C66" s="410"/>
    </row>
    <row r="67" spans="1:3" ht="15" x14ac:dyDescent="0.2">
      <c r="A67" s="413"/>
      <c r="C67" s="414"/>
    </row>
    <row r="68" spans="1:3" ht="15" x14ac:dyDescent="0.2">
      <c r="A68" s="415" t="s">
        <v>677</v>
      </c>
      <c r="B68" s="416" t="s">
        <v>622</v>
      </c>
      <c r="C68" s="410"/>
    </row>
    <row r="69" spans="1:3" x14ac:dyDescent="0.2">
      <c r="C69" s="410"/>
    </row>
    <row r="70" spans="1:3" ht="15" x14ac:dyDescent="0.2">
      <c r="A70" s="415" t="s">
        <v>678</v>
      </c>
      <c r="B70" s="416"/>
      <c r="C70" s="410"/>
    </row>
    <row r="71" spans="1:3" x14ac:dyDescent="0.2">
      <c r="A71" s="417"/>
      <c r="C71" s="410"/>
    </row>
    <row r="72" spans="1:3" ht="15" x14ac:dyDescent="0.2">
      <c r="A72" s="413" t="s">
        <v>679</v>
      </c>
      <c r="C72" s="418" t="s">
        <v>680</v>
      </c>
    </row>
    <row r="73" spans="1:3" x14ac:dyDescent="0.2">
      <c r="A73" s="417" t="s">
        <v>630</v>
      </c>
      <c r="B73" s="398" t="s">
        <v>681</v>
      </c>
    </row>
    <row r="74" spans="1:3" ht="15" x14ac:dyDescent="0.2">
      <c r="A74" s="413" t="s">
        <v>682</v>
      </c>
    </row>
    <row r="75" spans="1:3" x14ac:dyDescent="0.2">
      <c r="A75" s="417" t="s">
        <v>587</v>
      </c>
      <c r="B75" s="398" t="s">
        <v>588</v>
      </c>
      <c r="C75" s="410"/>
    </row>
    <row r="76" spans="1:3" x14ac:dyDescent="0.2">
      <c r="C76" s="414"/>
    </row>
    <row r="77" spans="1:3" ht="15" x14ac:dyDescent="0.2">
      <c r="C77" s="419"/>
    </row>
    <row r="78" spans="1:3" x14ac:dyDescent="0.2">
      <c r="C78" s="420" t="s">
        <v>683</v>
      </c>
    </row>
    <row r="79" spans="1:3" ht="18" x14ac:dyDescent="0.25">
      <c r="A79" s="852" t="s">
        <v>684</v>
      </c>
      <c r="B79" s="853"/>
      <c r="C79" s="421"/>
    </row>
    <row r="80" spans="1:3" ht="15" x14ac:dyDescent="0.2">
      <c r="B80" s="422" t="s">
        <v>685</v>
      </c>
      <c r="C80" s="423">
        <v>15.410000000000082</v>
      </c>
    </row>
    <row r="81" spans="1:3" ht="15" x14ac:dyDescent="0.2">
      <c r="B81" s="422" t="s">
        <v>686</v>
      </c>
      <c r="C81" s="423">
        <v>12.829999999999984</v>
      </c>
    </row>
    <row r="82" spans="1:3" ht="15" x14ac:dyDescent="0.2">
      <c r="B82" s="422" t="s">
        <v>169</v>
      </c>
      <c r="C82" s="423">
        <v>121.94999999999982</v>
      </c>
    </row>
    <row r="83" spans="1:3" x14ac:dyDescent="0.2">
      <c r="A83" s="424"/>
      <c r="B83" s="425"/>
      <c r="C83" s="426">
        <v>150.19000000000005</v>
      </c>
    </row>
  </sheetData>
  <mergeCells count="1">
    <mergeCell ref="A79:B79"/>
  </mergeCells>
  <conditionalFormatting sqref="A15">
    <cfRule type="expression" dxfId="0" priority="1">
      <formula>"$A$16=""PM"""</formula>
    </cfRule>
  </conditionalFormatting>
  <pageMargins left="0.7" right="0.7" top="0.75" bottom="0.75" header="0.3" footer="0.3"/>
  <pageSetup paperSize="9" orientation="portrait" horizontalDpi="4294967294" verticalDpi="4294967294"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M72"/>
  <sheetViews>
    <sheetView workbookViewId="0"/>
  </sheetViews>
  <sheetFormatPr baseColWidth="10" defaultColWidth="11.5" defaultRowHeight="15" x14ac:dyDescent="0.2"/>
  <cols>
    <col min="1" max="1" width="56.5" customWidth="1"/>
    <col min="2" max="2" width="12.33203125" customWidth="1"/>
    <col min="3" max="3" width="15.33203125" customWidth="1"/>
    <col min="4" max="4" width="36.33203125" customWidth="1"/>
    <col min="5" max="6" width="8" customWidth="1"/>
    <col min="7" max="7" width="12.33203125" customWidth="1"/>
    <col min="8" max="8" width="36.5" customWidth="1"/>
    <col min="10" max="10" width="10.5" customWidth="1"/>
    <col min="11" max="11" width="9.5" customWidth="1"/>
    <col min="12" max="12" width="12" customWidth="1"/>
    <col min="13" max="13" width="48.1640625" customWidth="1"/>
  </cols>
  <sheetData>
    <row r="1" spans="1:12" x14ac:dyDescent="0.2">
      <c r="B1" t="s">
        <v>721</v>
      </c>
      <c r="C1" t="s">
        <v>722</v>
      </c>
      <c r="E1" t="s">
        <v>723</v>
      </c>
      <c r="F1" t="s">
        <v>724</v>
      </c>
      <c r="G1" t="s">
        <v>725</v>
      </c>
      <c r="J1" t="s">
        <v>726</v>
      </c>
      <c r="K1" t="s">
        <v>727</v>
      </c>
      <c r="L1" t="s">
        <v>728</v>
      </c>
    </row>
    <row r="3" spans="1:12" x14ac:dyDescent="0.2">
      <c r="A3" t="s">
        <v>729</v>
      </c>
      <c r="B3">
        <v>308</v>
      </c>
      <c r="C3">
        <v>6.42</v>
      </c>
    </row>
    <row r="4" spans="1:12" x14ac:dyDescent="0.2">
      <c r="A4" t="s">
        <v>730</v>
      </c>
      <c r="B4">
        <v>326</v>
      </c>
      <c r="C4">
        <v>6.79</v>
      </c>
    </row>
    <row r="5" spans="1:12" s="534" customFormat="1" ht="16" thickBot="1" x14ac:dyDescent="0.25"/>
    <row r="6" spans="1:12" ht="16" thickTop="1" x14ac:dyDescent="0.2"/>
    <row r="7" spans="1:12" x14ac:dyDescent="0.2">
      <c r="C7" t="s">
        <v>731</v>
      </c>
    </row>
    <row r="8" spans="1:12" x14ac:dyDescent="0.2">
      <c r="A8" s="535" t="s">
        <v>732</v>
      </c>
      <c r="B8" s="536"/>
      <c r="C8" s="536"/>
      <c r="D8" s="536"/>
      <c r="E8" s="536"/>
      <c r="F8" s="536"/>
      <c r="G8" s="537"/>
    </row>
    <row r="9" spans="1:12" x14ac:dyDescent="0.2">
      <c r="A9" s="157" t="s">
        <v>733</v>
      </c>
      <c r="B9">
        <v>4855</v>
      </c>
      <c r="G9" s="538"/>
    </row>
    <row r="10" spans="1:12" x14ac:dyDescent="0.2">
      <c r="A10" s="157" t="s">
        <v>734</v>
      </c>
      <c r="B10" s="155" t="s">
        <v>735</v>
      </c>
      <c r="C10">
        <v>88.74</v>
      </c>
      <c r="G10" s="538"/>
    </row>
    <row r="11" spans="1:12" x14ac:dyDescent="0.2">
      <c r="A11" s="157" t="s">
        <v>736</v>
      </c>
      <c r="B11">
        <v>631</v>
      </c>
      <c r="C11">
        <v>5.85</v>
      </c>
      <c r="G11" s="538"/>
    </row>
    <row r="12" spans="1:12" x14ac:dyDescent="0.2">
      <c r="A12" s="157" t="s">
        <v>737</v>
      </c>
      <c r="B12">
        <v>1600</v>
      </c>
      <c r="C12">
        <v>136</v>
      </c>
      <c r="G12" s="538"/>
    </row>
    <row r="13" spans="1:12" x14ac:dyDescent="0.2">
      <c r="A13" s="539"/>
      <c r="B13" s="540"/>
      <c r="C13" s="540"/>
      <c r="D13" s="541" t="s">
        <v>738</v>
      </c>
      <c r="E13" s="541">
        <v>230.79599999999999</v>
      </c>
      <c r="F13" s="540">
        <v>200</v>
      </c>
      <c r="G13" s="542">
        <f>E13*F13</f>
        <v>46159.199999999997</v>
      </c>
      <c r="J13" t="s">
        <v>739</v>
      </c>
      <c r="K13">
        <v>2205.9</v>
      </c>
      <c r="L13">
        <f>K13*F13</f>
        <v>441180</v>
      </c>
    </row>
    <row r="16" spans="1:12" x14ac:dyDescent="0.2">
      <c r="A16" s="535" t="s">
        <v>740</v>
      </c>
      <c r="B16" s="536"/>
      <c r="C16" s="536"/>
      <c r="D16" s="536"/>
      <c r="E16" s="536"/>
      <c r="F16" s="536"/>
      <c r="G16" s="537"/>
    </row>
    <row r="17" spans="1:13" x14ac:dyDescent="0.2">
      <c r="A17" s="157" t="s">
        <v>733</v>
      </c>
      <c r="B17">
        <v>4855</v>
      </c>
      <c r="C17">
        <v>1.62</v>
      </c>
      <c r="G17" s="538"/>
    </row>
    <row r="18" spans="1:13" x14ac:dyDescent="0.2">
      <c r="A18" s="157" t="s">
        <v>734</v>
      </c>
      <c r="B18" s="155" t="s">
        <v>735</v>
      </c>
      <c r="C18">
        <v>88.74</v>
      </c>
      <c r="G18" s="538"/>
    </row>
    <row r="19" spans="1:13" x14ac:dyDescent="0.2">
      <c r="A19" s="157" t="s">
        <v>736</v>
      </c>
      <c r="B19">
        <v>631</v>
      </c>
      <c r="C19">
        <v>5.85</v>
      </c>
      <c r="G19" s="538"/>
    </row>
    <row r="20" spans="1:13" x14ac:dyDescent="0.2">
      <c r="A20" s="157" t="s">
        <v>737</v>
      </c>
      <c r="B20">
        <v>1600</v>
      </c>
      <c r="C20">
        <v>136</v>
      </c>
      <c r="G20" s="538"/>
    </row>
    <row r="21" spans="1:13" x14ac:dyDescent="0.2">
      <c r="A21" s="539"/>
      <c r="B21" s="540"/>
      <c r="C21" s="540"/>
      <c r="D21" s="541" t="s">
        <v>741</v>
      </c>
      <c r="E21" s="541">
        <v>230.79599999999999</v>
      </c>
      <c r="F21" s="540">
        <v>116</v>
      </c>
      <c r="G21" s="542">
        <f>E21*F21</f>
        <v>26772.335999999999</v>
      </c>
      <c r="J21" t="s">
        <v>739</v>
      </c>
      <c r="K21">
        <v>2205.9</v>
      </c>
      <c r="L21">
        <f>K21*F21</f>
        <v>255884.40000000002</v>
      </c>
    </row>
    <row r="23" spans="1:13" x14ac:dyDescent="0.2">
      <c r="A23" s="535" t="s">
        <v>742</v>
      </c>
      <c r="B23" s="536"/>
      <c r="C23" s="536"/>
      <c r="D23" s="536"/>
      <c r="E23" s="536"/>
      <c r="F23" s="536"/>
      <c r="G23" s="537"/>
    </row>
    <row r="24" spans="1:13" x14ac:dyDescent="0.2">
      <c r="A24" s="157" t="s">
        <v>743</v>
      </c>
      <c r="B24">
        <v>618</v>
      </c>
      <c r="C24">
        <v>1.62</v>
      </c>
      <c r="G24" s="538"/>
    </row>
    <row r="25" spans="1:13" x14ac:dyDescent="0.2">
      <c r="A25" s="157" t="s">
        <v>734</v>
      </c>
      <c r="B25" s="155" t="s">
        <v>735</v>
      </c>
      <c r="C25">
        <v>88.74</v>
      </c>
      <c r="G25" s="538"/>
    </row>
    <row r="26" spans="1:13" x14ac:dyDescent="0.2">
      <c r="A26" s="157" t="s">
        <v>736</v>
      </c>
      <c r="B26">
        <v>631</v>
      </c>
      <c r="C26">
        <v>5.85</v>
      </c>
      <c r="G26" s="538"/>
    </row>
    <row r="27" spans="1:13" x14ac:dyDescent="0.2">
      <c r="A27" s="157" t="s">
        <v>737</v>
      </c>
      <c r="B27">
        <v>1600</v>
      </c>
      <c r="C27">
        <v>136</v>
      </c>
      <c r="G27" s="538"/>
    </row>
    <row r="28" spans="1:13" ht="16" thickBot="1" x14ac:dyDescent="0.25">
      <c r="A28" s="539"/>
      <c r="B28" s="540"/>
      <c r="C28" s="540"/>
      <c r="D28" s="541" t="s">
        <v>744</v>
      </c>
      <c r="E28" s="541">
        <v>230.79599999999999</v>
      </c>
      <c r="F28" s="540">
        <v>19</v>
      </c>
      <c r="G28" s="538">
        <f>E28*F28</f>
        <v>4385.1239999999998</v>
      </c>
      <c r="J28" t="s">
        <v>745</v>
      </c>
      <c r="K28">
        <v>882.9</v>
      </c>
      <c r="L28">
        <f>K28*F28</f>
        <v>16775.099999999999</v>
      </c>
    </row>
    <row r="29" spans="1:13" ht="16" thickBot="1" x14ac:dyDescent="0.25">
      <c r="G29" s="543">
        <f>G13+G21+G28</f>
        <v>77316.659999999989</v>
      </c>
      <c r="H29" s="544" t="s">
        <v>746</v>
      </c>
      <c r="L29" s="545">
        <f>L13+L21+L28</f>
        <v>713839.5</v>
      </c>
      <c r="M29" s="546" t="s">
        <v>747</v>
      </c>
    </row>
    <row r="30" spans="1:13" x14ac:dyDescent="0.2">
      <c r="G30" s="462">
        <v>2028.72</v>
      </c>
      <c r="H30" s="547" t="s">
        <v>748</v>
      </c>
    </row>
    <row r="31" spans="1:13" x14ac:dyDescent="0.2">
      <c r="G31" s="462">
        <v>15000</v>
      </c>
      <c r="H31" s="547" t="s">
        <v>749</v>
      </c>
    </row>
    <row r="32" spans="1:13" ht="16" thickBot="1" x14ac:dyDescent="0.25">
      <c r="G32" s="548">
        <f>G29+G30+G31</f>
        <v>94345.37999999999</v>
      </c>
      <c r="H32" s="549" t="s">
        <v>750</v>
      </c>
    </row>
    <row r="33" spans="1:13" x14ac:dyDescent="0.2">
      <c r="G33" s="550"/>
    </row>
    <row r="34" spans="1:13" s="534" customFormat="1" ht="16" thickBot="1" x14ac:dyDescent="0.25">
      <c r="G34" s="551"/>
    </row>
    <row r="35" spans="1:13" ht="16" thickTop="1" x14ac:dyDescent="0.2"/>
    <row r="36" spans="1:13" x14ac:dyDescent="0.2">
      <c r="A36" s="552" t="s">
        <v>751</v>
      </c>
    </row>
    <row r="37" spans="1:13" x14ac:dyDescent="0.2">
      <c r="A37" t="s">
        <v>752</v>
      </c>
      <c r="B37">
        <v>11.32</v>
      </c>
    </row>
    <row r="38" spans="1:13" x14ac:dyDescent="0.2">
      <c r="A38" t="s">
        <v>753</v>
      </c>
      <c r="B38">
        <v>9.35</v>
      </c>
    </row>
    <row r="39" spans="1:13" x14ac:dyDescent="0.2">
      <c r="D39" s="553" t="s">
        <v>754</v>
      </c>
      <c r="E39" s="553">
        <v>75.900000000000006</v>
      </c>
      <c r="F39">
        <v>70</v>
      </c>
      <c r="G39">
        <f>E39*F39</f>
        <v>5313</v>
      </c>
      <c r="J39" t="s">
        <v>755</v>
      </c>
      <c r="K39">
        <v>124.2</v>
      </c>
      <c r="L39">
        <f>(K39*F39)*5</f>
        <v>43470</v>
      </c>
    </row>
    <row r="40" spans="1:13" x14ac:dyDescent="0.2">
      <c r="D40" t="s">
        <v>756</v>
      </c>
    </row>
    <row r="42" spans="1:13" x14ac:dyDescent="0.2">
      <c r="D42" s="553" t="s">
        <v>757</v>
      </c>
      <c r="E42" s="553">
        <v>32.29</v>
      </c>
      <c r="F42">
        <v>90</v>
      </c>
      <c r="G42">
        <f>E42*F42</f>
        <v>2906.1</v>
      </c>
      <c r="J42" t="s">
        <v>758</v>
      </c>
      <c r="K42">
        <v>124.2</v>
      </c>
      <c r="L42">
        <f>(K42*F42)*3</f>
        <v>33534</v>
      </c>
    </row>
    <row r="43" spans="1:13" x14ac:dyDescent="0.2">
      <c r="D43" t="s">
        <v>759</v>
      </c>
    </row>
    <row r="45" spans="1:13" ht="16" thickBot="1" x14ac:dyDescent="0.25">
      <c r="D45" s="553" t="s">
        <v>760</v>
      </c>
      <c r="E45" s="553">
        <v>9.65</v>
      </c>
      <c r="F45">
        <v>70</v>
      </c>
      <c r="G45">
        <f>E45*F45</f>
        <v>675.5</v>
      </c>
      <c r="J45" t="s">
        <v>761</v>
      </c>
      <c r="K45">
        <v>207.9</v>
      </c>
      <c r="L45">
        <f>K45*F45</f>
        <v>14553</v>
      </c>
    </row>
    <row r="46" spans="1:13" ht="16" thickBot="1" x14ac:dyDescent="0.25">
      <c r="D46" t="s">
        <v>762</v>
      </c>
      <c r="G46" s="545">
        <f>G39+G42+G45</f>
        <v>8894.6</v>
      </c>
      <c r="H46" s="546" t="s">
        <v>763</v>
      </c>
      <c r="L46" s="545">
        <f>L39+L42+L45</f>
        <v>91557</v>
      </c>
      <c r="M46" s="546" t="s">
        <v>764</v>
      </c>
    </row>
    <row r="49" spans="1:13" s="534" customFormat="1" ht="16" thickBot="1" x14ac:dyDescent="0.25"/>
    <row r="50" spans="1:13" ht="16" thickTop="1" x14ac:dyDescent="0.2"/>
    <row r="51" spans="1:13" x14ac:dyDescent="0.2">
      <c r="G51">
        <f>G46+G32</f>
        <v>103239.98</v>
      </c>
      <c r="H51" t="s">
        <v>725</v>
      </c>
    </row>
    <row r="54" spans="1:13" x14ac:dyDescent="0.2">
      <c r="G54">
        <v>150000</v>
      </c>
      <c r="H54" t="s">
        <v>765</v>
      </c>
    </row>
    <row r="55" spans="1:13" x14ac:dyDescent="0.2">
      <c r="G55">
        <v>201000</v>
      </c>
      <c r="H55" t="s">
        <v>766</v>
      </c>
    </row>
    <row r="56" spans="1:13" ht="16" thickBot="1" x14ac:dyDescent="0.25">
      <c r="G56">
        <v>15000</v>
      </c>
      <c r="H56" t="s">
        <v>767</v>
      </c>
    </row>
    <row r="57" spans="1:13" ht="16" thickBot="1" x14ac:dyDescent="0.25">
      <c r="G57" s="545">
        <f>G54+G55+G56+G51</f>
        <v>469239.98</v>
      </c>
      <c r="H57" s="546" t="s">
        <v>768</v>
      </c>
      <c r="L57" s="545">
        <f>L29+L46</f>
        <v>805396.5</v>
      </c>
      <c r="M57" s="546" t="s">
        <v>769</v>
      </c>
    </row>
    <row r="58" spans="1:13" x14ac:dyDescent="0.2">
      <c r="G58" s="554"/>
      <c r="H58" s="554"/>
    </row>
    <row r="59" spans="1:13" x14ac:dyDescent="0.2">
      <c r="G59" s="555">
        <v>402698.25</v>
      </c>
      <c r="H59" s="555" t="s">
        <v>770</v>
      </c>
      <c r="L59" s="555">
        <f>L57*0.5</f>
        <v>402698.25</v>
      </c>
      <c r="M59" s="555" t="s">
        <v>771</v>
      </c>
    </row>
    <row r="60" spans="1:13" x14ac:dyDescent="0.2">
      <c r="G60" s="556">
        <f>G57-G59</f>
        <v>66541.729999999981</v>
      </c>
      <c r="H60" s="557" t="s">
        <v>772</v>
      </c>
      <c r="L60" s="556">
        <v>402698.25</v>
      </c>
      <c r="M60" s="557" t="s">
        <v>772</v>
      </c>
    </row>
    <row r="64" spans="1:13" x14ac:dyDescent="0.2">
      <c r="A64" t="s">
        <v>773</v>
      </c>
    </row>
    <row r="65" spans="1:2" x14ac:dyDescent="0.2">
      <c r="A65" t="s">
        <v>774</v>
      </c>
    </row>
    <row r="66" spans="1:2" x14ac:dyDescent="0.2">
      <c r="A66" t="s">
        <v>775</v>
      </c>
    </row>
    <row r="67" spans="1:2" x14ac:dyDescent="0.2">
      <c r="A67" t="s">
        <v>776</v>
      </c>
    </row>
    <row r="69" spans="1:2" x14ac:dyDescent="0.2">
      <c r="A69" t="s">
        <v>777</v>
      </c>
      <c r="B69">
        <v>6000</v>
      </c>
    </row>
    <row r="70" spans="1:2" x14ac:dyDescent="0.2">
      <c r="A70" t="s">
        <v>778</v>
      </c>
      <c r="B70">
        <v>5000</v>
      </c>
    </row>
    <row r="71" spans="1:2" x14ac:dyDescent="0.2">
      <c r="A71" t="s">
        <v>779</v>
      </c>
      <c r="B71" t="s">
        <v>780</v>
      </c>
    </row>
    <row r="72" spans="1:2" x14ac:dyDescent="0.2">
      <c r="A72" t="s">
        <v>781</v>
      </c>
    </row>
  </sheetData>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theme="0" tint="-0.14999847407452621"/>
  </sheetPr>
  <dimension ref="A1"/>
  <sheetViews>
    <sheetView workbookViewId="0"/>
  </sheetViews>
  <sheetFormatPr baseColWidth="10" defaultRowHeight="1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M57"/>
  <sheetViews>
    <sheetView workbookViewId="0"/>
  </sheetViews>
  <sheetFormatPr baseColWidth="10" defaultColWidth="11.5" defaultRowHeight="15" x14ac:dyDescent="0.2"/>
  <cols>
    <col min="1" max="1" width="56.5" customWidth="1"/>
    <col min="2" max="2" width="12.33203125" customWidth="1"/>
    <col min="3" max="3" width="15.33203125" customWidth="1"/>
    <col min="4" max="4" width="36.33203125" customWidth="1"/>
    <col min="5" max="6" width="8" customWidth="1"/>
    <col min="7" max="7" width="12.33203125" customWidth="1"/>
    <col min="8" max="8" width="38" customWidth="1"/>
    <col min="10" max="10" width="10.5" customWidth="1"/>
    <col min="11" max="11" width="9.5" customWidth="1"/>
    <col min="12" max="12" width="12" customWidth="1"/>
    <col min="13" max="13" width="48.1640625" customWidth="1"/>
  </cols>
  <sheetData>
    <row r="1" spans="1:13" x14ac:dyDescent="0.2">
      <c r="B1" t="s">
        <v>721</v>
      </c>
      <c r="C1" t="s">
        <v>722</v>
      </c>
      <c r="E1" t="s">
        <v>723</v>
      </c>
      <c r="F1" t="s">
        <v>724</v>
      </c>
      <c r="G1" t="s">
        <v>725</v>
      </c>
      <c r="J1" t="s">
        <v>726</v>
      </c>
      <c r="K1" t="s">
        <v>727</v>
      </c>
      <c r="L1" t="s">
        <v>728</v>
      </c>
    </row>
    <row r="3" spans="1:13" x14ac:dyDescent="0.2">
      <c r="A3" t="s">
        <v>729</v>
      </c>
      <c r="B3">
        <v>308</v>
      </c>
      <c r="C3">
        <v>6.42</v>
      </c>
    </row>
    <row r="4" spans="1:13" x14ac:dyDescent="0.2">
      <c r="A4" t="s">
        <v>730</v>
      </c>
      <c r="B4">
        <v>326</v>
      </c>
      <c r="C4">
        <v>6.79</v>
      </c>
    </row>
    <row r="6" spans="1:13" x14ac:dyDescent="0.2">
      <c r="A6" s="558" t="s">
        <v>782</v>
      </c>
      <c r="B6" s="536"/>
      <c r="C6" s="536"/>
      <c r="D6" s="536"/>
      <c r="E6" s="536"/>
      <c r="F6" s="536"/>
      <c r="G6" s="537"/>
    </row>
    <row r="7" spans="1:13" x14ac:dyDescent="0.2">
      <c r="A7" s="157" t="s">
        <v>783</v>
      </c>
      <c r="B7" s="155" t="s">
        <v>784</v>
      </c>
      <c r="C7">
        <v>329</v>
      </c>
      <c r="G7" s="538"/>
    </row>
    <row r="8" spans="1:13" x14ac:dyDescent="0.2">
      <c r="A8" s="157" t="s">
        <v>785</v>
      </c>
      <c r="B8">
        <v>1600</v>
      </c>
      <c r="C8">
        <v>135</v>
      </c>
      <c r="G8" s="538"/>
    </row>
    <row r="9" spans="1:13" x14ac:dyDescent="0.2">
      <c r="A9" s="539"/>
      <c r="B9" s="540"/>
      <c r="C9" s="351">
        <f>C7+C8</f>
        <v>464</v>
      </c>
      <c r="D9" s="541" t="s">
        <v>786</v>
      </c>
      <c r="E9" s="559">
        <v>464</v>
      </c>
      <c r="F9" s="540">
        <v>200</v>
      </c>
      <c r="G9" s="542">
        <f>E9*F9</f>
        <v>92800</v>
      </c>
      <c r="J9" t="s">
        <v>739</v>
      </c>
      <c r="K9">
        <v>2205.9</v>
      </c>
      <c r="L9">
        <f>K9*F9</f>
        <v>441180</v>
      </c>
    </row>
    <row r="10" spans="1:13" x14ac:dyDescent="0.2">
      <c r="E10" s="550"/>
    </row>
    <row r="11" spans="1:13" x14ac:dyDescent="0.2">
      <c r="E11" s="550"/>
    </row>
    <row r="12" spans="1:13" x14ac:dyDescent="0.2">
      <c r="A12" s="558" t="s">
        <v>787</v>
      </c>
      <c r="B12" s="560" t="s">
        <v>784</v>
      </c>
      <c r="C12" s="536">
        <v>267</v>
      </c>
      <c r="D12" s="536"/>
      <c r="E12" s="536"/>
      <c r="F12" s="536"/>
      <c r="G12" s="537"/>
    </row>
    <row r="13" spans="1:13" x14ac:dyDescent="0.2">
      <c r="A13" s="157"/>
      <c r="B13">
        <v>1600</v>
      </c>
      <c r="C13">
        <v>135</v>
      </c>
      <c r="G13" s="538"/>
    </row>
    <row r="14" spans="1:13" ht="16" thickBot="1" x14ac:dyDescent="0.25">
      <c r="A14" s="539"/>
      <c r="B14" s="540"/>
      <c r="C14" s="351">
        <v>402</v>
      </c>
      <c r="D14" s="541" t="s">
        <v>788</v>
      </c>
      <c r="E14" s="559">
        <v>402</v>
      </c>
      <c r="F14" s="540">
        <v>116</v>
      </c>
      <c r="G14" s="538">
        <f>E14*F14</f>
        <v>46632</v>
      </c>
      <c r="J14" t="s">
        <v>739</v>
      </c>
      <c r="K14">
        <v>2205.9</v>
      </c>
      <c r="L14">
        <f>K14*F14</f>
        <v>255884.40000000002</v>
      </c>
    </row>
    <row r="15" spans="1:13" ht="16" thickBot="1" x14ac:dyDescent="0.25">
      <c r="C15" s="561"/>
      <c r="E15" s="561"/>
      <c r="G15" s="562">
        <f>G9+G14</f>
        <v>139432</v>
      </c>
      <c r="H15" s="544" t="s">
        <v>789</v>
      </c>
      <c r="J15" t="s">
        <v>745</v>
      </c>
      <c r="K15">
        <v>882.9</v>
      </c>
      <c r="L15" s="9">
        <f>K15*19</f>
        <v>16775.099999999999</v>
      </c>
      <c r="M15" s="194"/>
    </row>
    <row r="16" spans="1:13" ht="16" thickBot="1" x14ac:dyDescent="0.25">
      <c r="C16" s="561"/>
      <c r="E16" s="561"/>
      <c r="G16" s="462">
        <v>2028.72</v>
      </c>
      <c r="H16" s="547" t="s">
        <v>748</v>
      </c>
      <c r="L16" s="563">
        <f>L9+L14+L15</f>
        <v>713839.5</v>
      </c>
      <c r="M16" s="546" t="s">
        <v>747</v>
      </c>
    </row>
    <row r="17" spans="1:13" ht="16" thickBot="1" x14ac:dyDescent="0.25">
      <c r="C17" s="561"/>
      <c r="E17" s="561"/>
      <c r="G17" s="564">
        <f>G15+G16</f>
        <v>141460.72</v>
      </c>
      <c r="H17" s="565" t="s">
        <v>790</v>
      </c>
    </row>
    <row r="19" spans="1:13" x14ac:dyDescent="0.2">
      <c r="G19" s="550"/>
    </row>
    <row r="20" spans="1:13" s="534" customFormat="1" ht="16" thickBot="1" x14ac:dyDescent="0.25">
      <c r="G20" s="551"/>
    </row>
    <row r="21" spans="1:13" ht="16" thickTop="1" x14ac:dyDescent="0.2"/>
    <row r="22" spans="1:13" x14ac:dyDescent="0.2">
      <c r="A22" s="552" t="s">
        <v>751</v>
      </c>
    </row>
    <row r="23" spans="1:13" x14ac:dyDescent="0.2">
      <c r="A23" t="s">
        <v>752</v>
      </c>
      <c r="B23">
        <v>11.32</v>
      </c>
    </row>
    <row r="24" spans="1:13" x14ac:dyDescent="0.2">
      <c r="A24" t="s">
        <v>753</v>
      </c>
      <c r="B24">
        <v>9.35</v>
      </c>
    </row>
    <row r="25" spans="1:13" x14ac:dyDescent="0.2">
      <c r="D25" s="553" t="s">
        <v>754</v>
      </c>
      <c r="E25" s="553">
        <v>75.900000000000006</v>
      </c>
      <c r="F25">
        <v>70</v>
      </c>
      <c r="G25">
        <f>E25*F25</f>
        <v>5313</v>
      </c>
      <c r="J25" t="s">
        <v>755</v>
      </c>
      <c r="K25">
        <v>124.2</v>
      </c>
      <c r="L25">
        <f>(K25*F25)*5</f>
        <v>43470</v>
      </c>
    </row>
    <row r="26" spans="1:13" x14ac:dyDescent="0.2">
      <c r="D26" t="s">
        <v>756</v>
      </c>
    </row>
    <row r="28" spans="1:13" x14ac:dyDescent="0.2">
      <c r="D28" s="553" t="s">
        <v>757</v>
      </c>
      <c r="E28" s="553">
        <v>32.29</v>
      </c>
      <c r="F28">
        <v>90</v>
      </c>
      <c r="G28">
        <f>E28*F28</f>
        <v>2906.1</v>
      </c>
      <c r="J28" t="s">
        <v>758</v>
      </c>
      <c r="K28">
        <v>124.2</v>
      </c>
      <c r="L28">
        <f>(K28*F28)*3</f>
        <v>33534</v>
      </c>
    </row>
    <row r="29" spans="1:13" x14ac:dyDescent="0.2">
      <c r="D29" t="s">
        <v>759</v>
      </c>
    </row>
    <row r="31" spans="1:13" ht="16" thickBot="1" x14ac:dyDescent="0.25">
      <c r="D31" s="553" t="s">
        <v>760</v>
      </c>
      <c r="E31" s="553">
        <v>9.65</v>
      </c>
      <c r="F31">
        <v>70</v>
      </c>
      <c r="G31">
        <f>E31*F31</f>
        <v>675.5</v>
      </c>
      <c r="J31" t="s">
        <v>761</v>
      </c>
      <c r="K31">
        <v>207.9</v>
      </c>
      <c r="L31">
        <f>K31*F31</f>
        <v>14553</v>
      </c>
    </row>
    <row r="32" spans="1:13" ht="16" thickBot="1" x14ac:dyDescent="0.25">
      <c r="D32" t="s">
        <v>762</v>
      </c>
      <c r="G32" s="545">
        <f>G25+G28+G31</f>
        <v>8894.6</v>
      </c>
      <c r="H32" s="546" t="s">
        <v>763</v>
      </c>
      <c r="L32" s="545">
        <f>L25+L28+L31</f>
        <v>91557</v>
      </c>
      <c r="M32" s="546" t="s">
        <v>764</v>
      </c>
    </row>
    <row r="35" spans="7:13" s="534" customFormat="1" ht="16" thickBot="1" x14ac:dyDescent="0.25"/>
    <row r="36" spans="7:13" ht="16" thickTop="1" x14ac:dyDescent="0.2"/>
    <row r="37" spans="7:13" x14ac:dyDescent="0.2">
      <c r="G37">
        <f>G17+G32</f>
        <v>150355.32</v>
      </c>
      <c r="H37" t="s">
        <v>725</v>
      </c>
    </row>
    <row r="40" spans="7:13" x14ac:dyDescent="0.2">
      <c r="G40">
        <v>150000</v>
      </c>
      <c r="H40" t="s">
        <v>765</v>
      </c>
    </row>
    <row r="41" spans="7:13" x14ac:dyDescent="0.2">
      <c r="G41">
        <v>201000</v>
      </c>
      <c r="H41" t="s">
        <v>766</v>
      </c>
    </row>
    <row r="42" spans="7:13" ht="16" thickBot="1" x14ac:dyDescent="0.25"/>
    <row r="43" spans="7:13" ht="16" thickBot="1" x14ac:dyDescent="0.25">
      <c r="G43" s="545">
        <f>G37+G40+G41</f>
        <v>501355.32</v>
      </c>
      <c r="H43" s="546" t="s">
        <v>768</v>
      </c>
      <c r="L43" s="545">
        <f>L16+L32</f>
        <v>805396.5</v>
      </c>
      <c r="M43" s="546" t="s">
        <v>769</v>
      </c>
    </row>
    <row r="44" spans="7:13" x14ac:dyDescent="0.2">
      <c r="G44" s="554"/>
      <c r="H44" s="554"/>
    </row>
    <row r="45" spans="7:13" x14ac:dyDescent="0.2">
      <c r="G45" s="554">
        <v>402698.25</v>
      </c>
      <c r="H45" s="554" t="s">
        <v>770</v>
      </c>
      <c r="L45" s="555">
        <f>L43*0.5</f>
        <v>402698.25</v>
      </c>
      <c r="M45" s="555" t="s">
        <v>771</v>
      </c>
    </row>
    <row r="46" spans="7:13" x14ac:dyDescent="0.2">
      <c r="G46" s="556">
        <f>G43-G45</f>
        <v>98657.07</v>
      </c>
      <c r="H46" s="557" t="s">
        <v>772</v>
      </c>
      <c r="L46" s="556">
        <v>402698.25</v>
      </c>
      <c r="M46" s="557" t="s">
        <v>772</v>
      </c>
    </row>
    <row r="50" spans="1:2" x14ac:dyDescent="0.2">
      <c r="A50" t="s">
        <v>773</v>
      </c>
    </row>
    <row r="51" spans="1:2" x14ac:dyDescent="0.2">
      <c r="A51" t="s">
        <v>774</v>
      </c>
    </row>
    <row r="52" spans="1:2" x14ac:dyDescent="0.2">
      <c r="A52" t="s">
        <v>775</v>
      </c>
    </row>
    <row r="53" spans="1:2" x14ac:dyDescent="0.2">
      <c r="A53" t="s">
        <v>776</v>
      </c>
    </row>
    <row r="55" spans="1:2" x14ac:dyDescent="0.2">
      <c r="A55" t="s">
        <v>777</v>
      </c>
      <c r="B55" t="s">
        <v>791</v>
      </c>
    </row>
    <row r="56" spans="1:2" x14ac:dyDescent="0.2">
      <c r="A56" t="s">
        <v>778</v>
      </c>
      <c r="B56" t="s">
        <v>792</v>
      </c>
    </row>
    <row r="57" spans="1:2" x14ac:dyDescent="0.2">
      <c r="A57" t="s">
        <v>779</v>
      </c>
      <c r="B57" t="s">
        <v>780</v>
      </c>
    </row>
  </sheetData>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A54"/>
  <sheetViews>
    <sheetView workbookViewId="0"/>
  </sheetViews>
  <sheetFormatPr baseColWidth="10" defaultRowHeight="15" x14ac:dyDescent="0.2"/>
  <sheetData>
    <row r="1" spans="1:1" x14ac:dyDescent="0.2">
      <c r="A1" t="s">
        <v>807</v>
      </c>
    </row>
    <row r="2" spans="1:1" x14ac:dyDescent="0.2">
      <c r="A2" t="s">
        <v>812</v>
      </c>
    </row>
    <row r="3" spans="1:1" x14ac:dyDescent="0.2">
      <c r="A3" t="s">
        <v>799</v>
      </c>
    </row>
    <row r="5" spans="1:1" x14ac:dyDescent="0.2">
      <c r="A5" t="s">
        <v>804</v>
      </c>
    </row>
    <row r="7" spans="1:1" x14ac:dyDescent="0.2">
      <c r="A7" t="s">
        <v>800</v>
      </c>
    </row>
    <row r="8" spans="1:1" x14ac:dyDescent="0.2">
      <c r="A8" t="s">
        <v>801</v>
      </c>
    </row>
    <row r="9" spans="1:1" x14ac:dyDescent="0.2">
      <c r="A9" t="s">
        <v>802</v>
      </c>
    </row>
    <row r="10" spans="1:1" x14ac:dyDescent="0.2">
      <c r="A10" t="s">
        <v>803</v>
      </c>
    </row>
    <row r="11" spans="1:1" x14ac:dyDescent="0.2">
      <c r="A11" t="s">
        <v>805</v>
      </c>
    </row>
    <row r="12" spans="1:1" x14ac:dyDescent="0.2">
      <c r="A12" t="s">
        <v>806</v>
      </c>
    </row>
    <row r="15" spans="1:1" x14ac:dyDescent="0.2">
      <c r="A15" t="s">
        <v>822</v>
      </c>
    </row>
    <row r="16" spans="1:1" x14ac:dyDescent="0.2">
      <c r="A16" t="s">
        <v>813</v>
      </c>
    </row>
    <row r="17" spans="1:1" x14ac:dyDescent="0.2">
      <c r="A17" t="s">
        <v>814</v>
      </c>
    </row>
    <row r="18" spans="1:1" x14ac:dyDescent="0.2">
      <c r="A18" t="s">
        <v>815</v>
      </c>
    </row>
    <row r="19" spans="1:1" x14ac:dyDescent="0.2">
      <c r="A19" t="s">
        <v>816</v>
      </c>
    </row>
    <row r="20" spans="1:1" x14ac:dyDescent="0.2">
      <c r="A20" t="s">
        <v>817</v>
      </c>
    </row>
    <row r="21" spans="1:1" x14ac:dyDescent="0.2">
      <c r="A21" t="s">
        <v>818</v>
      </c>
    </row>
    <row r="22" spans="1:1" x14ac:dyDescent="0.2">
      <c r="A22" t="s">
        <v>819</v>
      </c>
    </row>
    <row r="23" spans="1:1" x14ac:dyDescent="0.2">
      <c r="A23" t="s">
        <v>820</v>
      </c>
    </row>
    <row r="24" spans="1:1" x14ac:dyDescent="0.2">
      <c r="A24" t="s">
        <v>821</v>
      </c>
    </row>
    <row r="26" spans="1:1" x14ac:dyDescent="0.2">
      <c r="A26" t="s">
        <v>827</v>
      </c>
    </row>
    <row r="27" spans="1:1" x14ac:dyDescent="0.2">
      <c r="A27" t="s">
        <v>823</v>
      </c>
    </row>
    <row r="28" spans="1:1" x14ac:dyDescent="0.2">
      <c r="A28" t="s">
        <v>824</v>
      </c>
    </row>
    <row r="29" spans="1:1" x14ac:dyDescent="0.2">
      <c r="A29" t="s">
        <v>825</v>
      </c>
    </row>
    <row r="30" spans="1:1" x14ac:dyDescent="0.2">
      <c r="A30" t="s">
        <v>826</v>
      </c>
    </row>
    <row r="32" spans="1:1" x14ac:dyDescent="0.2">
      <c r="A32" t="s">
        <v>852</v>
      </c>
    </row>
    <row r="33" spans="1:1" x14ac:dyDescent="0.2">
      <c r="A33" s="573" t="s">
        <v>833</v>
      </c>
    </row>
    <row r="34" spans="1:1" x14ac:dyDescent="0.2">
      <c r="A34" s="573" t="s">
        <v>834</v>
      </c>
    </row>
    <row r="35" spans="1:1" x14ac:dyDescent="0.2">
      <c r="A35" s="573" t="s">
        <v>835</v>
      </c>
    </row>
    <row r="36" spans="1:1" x14ac:dyDescent="0.2">
      <c r="A36" s="573" t="s">
        <v>836</v>
      </c>
    </row>
    <row r="37" spans="1:1" x14ac:dyDescent="0.2">
      <c r="A37" s="573" t="s">
        <v>837</v>
      </c>
    </row>
    <row r="38" spans="1:1" x14ac:dyDescent="0.2">
      <c r="A38" s="122"/>
    </row>
    <row r="39" spans="1:1" x14ac:dyDescent="0.2">
      <c r="A39" s="573" t="s">
        <v>838</v>
      </c>
    </row>
    <row r="40" spans="1:1" x14ac:dyDescent="0.2">
      <c r="A40" s="573" t="s">
        <v>839</v>
      </c>
    </row>
    <row r="41" spans="1:1" x14ac:dyDescent="0.2">
      <c r="A41" s="573" t="s">
        <v>840</v>
      </c>
    </row>
    <row r="42" spans="1:1" x14ac:dyDescent="0.2">
      <c r="A42" s="573" t="s">
        <v>841</v>
      </c>
    </row>
    <row r="43" spans="1:1" x14ac:dyDescent="0.2">
      <c r="A43" s="573" t="s">
        <v>842</v>
      </c>
    </row>
    <row r="44" spans="1:1" x14ac:dyDescent="0.2">
      <c r="A44" s="573" t="s">
        <v>843</v>
      </c>
    </row>
    <row r="45" spans="1:1" x14ac:dyDescent="0.2">
      <c r="A45" s="573" t="s">
        <v>844</v>
      </c>
    </row>
    <row r="46" spans="1:1" x14ac:dyDescent="0.2">
      <c r="A46" s="573" t="s">
        <v>845</v>
      </c>
    </row>
    <row r="47" spans="1:1" x14ac:dyDescent="0.2">
      <c r="A47" s="573" t="s">
        <v>846</v>
      </c>
    </row>
    <row r="48" spans="1:1" x14ac:dyDescent="0.2">
      <c r="A48" s="573" t="s">
        <v>847</v>
      </c>
    </row>
    <row r="49" spans="1:1" x14ac:dyDescent="0.2">
      <c r="A49" s="122"/>
    </row>
    <row r="50" spans="1:1" x14ac:dyDescent="0.2">
      <c r="A50" s="573" t="s">
        <v>848</v>
      </c>
    </row>
    <row r="51" spans="1:1" x14ac:dyDescent="0.2">
      <c r="A51" s="573" t="s">
        <v>849</v>
      </c>
    </row>
    <row r="52" spans="1:1" x14ac:dyDescent="0.2">
      <c r="A52" s="573" t="s">
        <v>850</v>
      </c>
    </row>
    <row r="53" spans="1:1" x14ac:dyDescent="0.2">
      <c r="A53" s="122"/>
    </row>
    <row r="54" spans="1:1" x14ac:dyDescent="0.2">
      <c r="A54" s="573" t="s">
        <v>851</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J21"/>
  <sheetViews>
    <sheetView workbookViewId="0">
      <selection activeCell="G26" sqref="G26"/>
    </sheetView>
  </sheetViews>
  <sheetFormatPr baseColWidth="10" defaultRowHeight="15" x14ac:dyDescent="0.2"/>
  <sheetData>
    <row r="1" spans="1:10" x14ac:dyDescent="0.2">
      <c r="A1" s="679" t="s">
        <v>1333</v>
      </c>
      <c r="B1" s="536"/>
      <c r="C1" s="536"/>
      <c r="D1" s="536"/>
      <c r="E1" s="536"/>
      <c r="F1" s="536"/>
      <c r="G1" s="536"/>
      <c r="H1" s="536"/>
      <c r="I1" s="536"/>
      <c r="J1" s="537"/>
    </row>
    <row r="2" spans="1:10" x14ac:dyDescent="0.2">
      <c r="A2" s="157" t="s">
        <v>1325</v>
      </c>
      <c r="J2" s="538"/>
    </row>
    <row r="3" spans="1:10" x14ac:dyDescent="0.2">
      <c r="A3" s="157"/>
      <c r="J3" s="538"/>
    </row>
    <row r="4" spans="1:10" x14ac:dyDescent="0.2">
      <c r="A4" s="157" t="s">
        <v>1326</v>
      </c>
      <c r="J4" s="538"/>
    </row>
    <row r="5" spans="1:10" x14ac:dyDescent="0.2">
      <c r="A5" s="157"/>
      <c r="J5" s="538"/>
    </row>
    <row r="6" spans="1:10" x14ac:dyDescent="0.2">
      <c r="A6" s="157" t="s">
        <v>1327</v>
      </c>
      <c r="J6" s="538"/>
    </row>
    <row r="7" spans="1:10" x14ac:dyDescent="0.2">
      <c r="A7" s="157" t="s">
        <v>1328</v>
      </c>
      <c r="J7" s="538"/>
    </row>
    <row r="8" spans="1:10" x14ac:dyDescent="0.2">
      <c r="A8" s="157" t="s">
        <v>1329</v>
      </c>
      <c r="J8" s="538"/>
    </row>
    <row r="9" spans="1:10" x14ac:dyDescent="0.2">
      <c r="A9" s="157" t="s">
        <v>1330</v>
      </c>
      <c r="J9" s="538"/>
    </row>
    <row r="10" spans="1:10" x14ac:dyDescent="0.2">
      <c r="A10" s="157" t="s">
        <v>1331</v>
      </c>
      <c r="J10" s="538"/>
    </row>
    <row r="11" spans="1:10" x14ac:dyDescent="0.2">
      <c r="A11" s="157"/>
      <c r="J11" s="538"/>
    </row>
    <row r="12" spans="1:10" x14ac:dyDescent="0.2">
      <c r="A12" s="539" t="s">
        <v>1332</v>
      </c>
      <c r="B12" s="540"/>
      <c r="C12" s="540"/>
      <c r="D12" s="540"/>
      <c r="E12" s="540"/>
      <c r="F12" s="540"/>
      <c r="G12" s="540"/>
      <c r="H12" s="540"/>
      <c r="I12" s="540"/>
      <c r="J12" s="542"/>
    </row>
    <row r="14" spans="1:10" x14ac:dyDescent="0.2">
      <c r="A14" s="679" t="s">
        <v>1338</v>
      </c>
      <c r="B14" s="536"/>
      <c r="C14" s="536"/>
      <c r="D14" s="536"/>
      <c r="E14" s="536"/>
      <c r="F14" s="536"/>
      <c r="G14" s="536"/>
      <c r="H14" s="536"/>
      <c r="I14" s="536"/>
      <c r="J14" s="537"/>
    </row>
    <row r="15" spans="1:10" x14ac:dyDescent="0.2">
      <c r="A15" s="157" t="s">
        <v>1334</v>
      </c>
      <c r="J15" s="538"/>
    </row>
    <row r="16" spans="1:10" x14ac:dyDescent="0.2">
      <c r="A16" s="157"/>
      <c r="J16" s="538"/>
    </row>
    <row r="17" spans="1:10" x14ac:dyDescent="0.2">
      <c r="A17" s="157" t="s">
        <v>1335</v>
      </c>
      <c r="J17" s="538"/>
    </row>
    <row r="18" spans="1:10" x14ac:dyDescent="0.2">
      <c r="A18" s="157"/>
      <c r="J18" s="538"/>
    </row>
    <row r="19" spans="1:10" x14ac:dyDescent="0.2">
      <c r="A19" s="157" t="s">
        <v>1336</v>
      </c>
      <c r="J19" s="538"/>
    </row>
    <row r="20" spans="1:10" x14ac:dyDescent="0.2">
      <c r="A20" s="157"/>
      <c r="J20" s="538"/>
    </row>
    <row r="21" spans="1:10" x14ac:dyDescent="0.2">
      <c r="A21" s="539" t="s">
        <v>1337</v>
      </c>
      <c r="B21" s="540"/>
      <c r="C21" s="540"/>
      <c r="D21" s="540"/>
      <c r="E21" s="540"/>
      <c r="F21" s="540"/>
      <c r="G21" s="540"/>
      <c r="H21" s="540"/>
      <c r="I21" s="540"/>
      <c r="J21" s="542"/>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M57"/>
  <sheetViews>
    <sheetView topLeftCell="B7" zoomScale="90" zoomScaleNormal="90" workbookViewId="0">
      <selection activeCell="E28" sqref="E28"/>
    </sheetView>
  </sheetViews>
  <sheetFormatPr baseColWidth="10" defaultColWidth="11.5" defaultRowHeight="15" x14ac:dyDescent="0.2"/>
  <cols>
    <col min="1" max="1" width="56.5" customWidth="1"/>
    <col min="2" max="2" width="12.33203125" customWidth="1"/>
    <col min="3" max="3" width="15.33203125" customWidth="1"/>
    <col min="4" max="4" width="36.33203125" customWidth="1"/>
    <col min="5" max="6" width="8" customWidth="1"/>
    <col min="7" max="7" width="12.33203125" customWidth="1"/>
    <col min="8" max="8" width="38" customWidth="1"/>
    <col min="10" max="10" width="10.5" customWidth="1"/>
    <col min="11" max="11" width="9.5" customWidth="1"/>
    <col min="12" max="12" width="12" customWidth="1"/>
    <col min="13" max="13" width="48.1640625" customWidth="1"/>
  </cols>
  <sheetData>
    <row r="1" spans="1:13" x14ac:dyDescent="0.2">
      <c r="B1" t="s">
        <v>721</v>
      </c>
      <c r="C1" t="s">
        <v>722</v>
      </c>
      <c r="E1" t="s">
        <v>723</v>
      </c>
      <c r="F1" t="s">
        <v>724</v>
      </c>
      <c r="G1" t="s">
        <v>725</v>
      </c>
      <c r="J1" t="s">
        <v>726</v>
      </c>
      <c r="K1" t="s">
        <v>727</v>
      </c>
      <c r="L1" t="s">
        <v>728</v>
      </c>
    </row>
    <row r="3" spans="1:13" x14ac:dyDescent="0.2">
      <c r="A3" t="s">
        <v>729</v>
      </c>
      <c r="B3">
        <v>308</v>
      </c>
      <c r="C3">
        <v>6.42</v>
      </c>
    </row>
    <row r="4" spans="1:13" x14ac:dyDescent="0.2">
      <c r="A4" t="s">
        <v>730</v>
      </c>
      <c r="B4">
        <v>326</v>
      </c>
      <c r="C4">
        <v>6.79</v>
      </c>
    </row>
    <row r="6" spans="1:13" x14ac:dyDescent="0.2">
      <c r="A6" s="558" t="s">
        <v>782</v>
      </c>
      <c r="B6" s="536"/>
      <c r="C6" s="536"/>
      <c r="D6" s="536"/>
      <c r="E6" s="536"/>
      <c r="F6" s="536"/>
      <c r="G6" s="537"/>
    </row>
    <row r="7" spans="1:13" x14ac:dyDescent="0.2">
      <c r="A7" s="157" t="s">
        <v>783</v>
      </c>
      <c r="B7" s="155" t="s">
        <v>784</v>
      </c>
      <c r="C7">
        <v>329</v>
      </c>
      <c r="G7" s="538"/>
    </row>
    <row r="8" spans="1:13" x14ac:dyDescent="0.2">
      <c r="A8" s="157" t="s">
        <v>785</v>
      </c>
      <c r="B8">
        <v>1600</v>
      </c>
      <c r="C8">
        <v>135</v>
      </c>
      <c r="G8" s="538"/>
    </row>
    <row r="9" spans="1:13" x14ac:dyDescent="0.2">
      <c r="A9" s="539"/>
      <c r="B9" s="540"/>
      <c r="C9" s="351">
        <f>C7+C8</f>
        <v>464</v>
      </c>
      <c r="D9" s="541" t="s">
        <v>786</v>
      </c>
      <c r="E9" s="559">
        <v>464</v>
      </c>
      <c r="F9" s="540">
        <v>200</v>
      </c>
      <c r="G9" s="542">
        <f>E9*F9</f>
        <v>92800</v>
      </c>
      <c r="J9" t="s">
        <v>739</v>
      </c>
      <c r="K9">
        <v>2205.9</v>
      </c>
      <c r="L9">
        <f>K9*F9</f>
        <v>441180</v>
      </c>
    </row>
    <row r="10" spans="1:13" x14ac:dyDescent="0.2">
      <c r="E10" s="550"/>
    </row>
    <row r="11" spans="1:13" x14ac:dyDescent="0.2">
      <c r="E11" s="550"/>
    </row>
    <row r="12" spans="1:13" x14ac:dyDescent="0.2">
      <c r="A12" s="558" t="s">
        <v>787</v>
      </c>
      <c r="B12" s="560" t="s">
        <v>784</v>
      </c>
      <c r="C12" s="536">
        <v>267</v>
      </c>
      <c r="D12" s="536"/>
      <c r="E12" s="536"/>
      <c r="F12" s="536"/>
      <c r="G12" s="537"/>
    </row>
    <row r="13" spans="1:13" x14ac:dyDescent="0.2">
      <c r="A13" s="157"/>
      <c r="B13">
        <v>1600</v>
      </c>
      <c r="C13">
        <v>135</v>
      </c>
      <c r="G13" s="538"/>
    </row>
    <row r="14" spans="1:13" ht="16" thickBot="1" x14ac:dyDescent="0.25">
      <c r="A14" s="539"/>
      <c r="B14" s="540"/>
      <c r="C14" s="351">
        <v>402</v>
      </c>
      <c r="D14" s="541" t="s">
        <v>788</v>
      </c>
      <c r="E14" s="559">
        <v>402</v>
      </c>
      <c r="F14" s="540">
        <v>116</v>
      </c>
      <c r="G14" s="538">
        <f>E14*F14</f>
        <v>46632</v>
      </c>
      <c r="J14" t="s">
        <v>739</v>
      </c>
      <c r="K14">
        <v>2205.9</v>
      </c>
      <c r="L14">
        <f>K14*F14</f>
        <v>255884.40000000002</v>
      </c>
    </row>
    <row r="15" spans="1:13" ht="16" thickBot="1" x14ac:dyDescent="0.25">
      <c r="C15" s="561"/>
      <c r="E15" s="561"/>
      <c r="G15" s="562">
        <f>G9+G14</f>
        <v>139432</v>
      </c>
      <c r="H15" s="544" t="s">
        <v>789</v>
      </c>
      <c r="J15" t="s">
        <v>745</v>
      </c>
      <c r="K15">
        <v>882.9</v>
      </c>
      <c r="L15" s="9">
        <f>K15*19</f>
        <v>16775.099999999999</v>
      </c>
      <c r="M15" s="194"/>
    </row>
    <row r="16" spans="1:13" ht="16" thickBot="1" x14ac:dyDescent="0.25">
      <c r="C16" s="561"/>
      <c r="E16" s="561"/>
      <c r="G16" s="462">
        <v>2028.72</v>
      </c>
      <c r="H16" s="547" t="s">
        <v>748</v>
      </c>
      <c r="L16" s="563">
        <f>L9+L14+L15</f>
        <v>713839.5</v>
      </c>
      <c r="M16" s="546" t="s">
        <v>747</v>
      </c>
    </row>
    <row r="17" spans="1:13" ht="16" thickBot="1" x14ac:dyDescent="0.25">
      <c r="C17" s="561"/>
      <c r="E17" s="561"/>
      <c r="G17" s="564">
        <f>G15+G16</f>
        <v>141460.72</v>
      </c>
      <c r="H17" s="565" t="s">
        <v>790</v>
      </c>
    </row>
    <row r="19" spans="1:13" x14ac:dyDescent="0.2">
      <c r="G19" s="550"/>
    </row>
    <row r="20" spans="1:13" s="534" customFormat="1" ht="16" thickBot="1" x14ac:dyDescent="0.25">
      <c r="G20" s="551"/>
    </row>
    <row r="21" spans="1:13" ht="16" thickTop="1" x14ac:dyDescent="0.2"/>
    <row r="22" spans="1:13" x14ac:dyDescent="0.2">
      <c r="A22" s="552" t="s">
        <v>751</v>
      </c>
    </row>
    <row r="23" spans="1:13" x14ac:dyDescent="0.2">
      <c r="A23" t="s">
        <v>752</v>
      </c>
      <c r="B23">
        <v>11.32</v>
      </c>
    </row>
    <row r="24" spans="1:13" x14ac:dyDescent="0.2">
      <c r="A24" t="s">
        <v>753</v>
      </c>
      <c r="B24">
        <v>9.35</v>
      </c>
    </row>
    <row r="25" spans="1:13" x14ac:dyDescent="0.2">
      <c r="D25" s="553" t="s">
        <v>754</v>
      </c>
      <c r="E25" s="553">
        <v>75.900000000000006</v>
      </c>
      <c r="F25">
        <v>70</v>
      </c>
      <c r="G25">
        <f>E25*F25</f>
        <v>5313</v>
      </c>
      <c r="J25" t="s">
        <v>755</v>
      </c>
      <c r="K25">
        <v>124.2</v>
      </c>
      <c r="L25">
        <f>(K25*F25)*5</f>
        <v>43470</v>
      </c>
    </row>
    <row r="26" spans="1:13" x14ac:dyDescent="0.2">
      <c r="D26" t="s">
        <v>756</v>
      </c>
    </row>
    <row r="28" spans="1:13" x14ac:dyDescent="0.2">
      <c r="D28" s="553" t="s">
        <v>757</v>
      </c>
      <c r="E28" s="553">
        <v>32.29</v>
      </c>
      <c r="F28">
        <v>90</v>
      </c>
      <c r="G28">
        <f>E28*F28</f>
        <v>2906.1</v>
      </c>
      <c r="J28" t="s">
        <v>758</v>
      </c>
      <c r="K28">
        <v>124.2</v>
      </c>
      <c r="L28">
        <f>(K28*F28)*3</f>
        <v>33534</v>
      </c>
    </row>
    <row r="29" spans="1:13" x14ac:dyDescent="0.2">
      <c r="D29" t="s">
        <v>759</v>
      </c>
    </row>
    <row r="31" spans="1:13" ht="16" thickBot="1" x14ac:dyDescent="0.25">
      <c r="D31" s="553" t="s">
        <v>760</v>
      </c>
      <c r="E31" s="553">
        <v>9.65</v>
      </c>
      <c r="F31">
        <v>70</v>
      </c>
      <c r="G31">
        <f>E31*F31</f>
        <v>675.5</v>
      </c>
      <c r="J31" t="s">
        <v>761</v>
      </c>
      <c r="K31">
        <v>207.9</v>
      </c>
      <c r="L31">
        <f>K31*F31</f>
        <v>14553</v>
      </c>
    </row>
    <row r="32" spans="1:13" ht="16" thickBot="1" x14ac:dyDescent="0.25">
      <c r="D32" t="s">
        <v>762</v>
      </c>
      <c r="G32" s="545">
        <f>G25+G28+G31</f>
        <v>8894.6</v>
      </c>
      <c r="H32" s="546" t="s">
        <v>763</v>
      </c>
      <c r="L32" s="545">
        <f>L25+L28+L31</f>
        <v>91557</v>
      </c>
      <c r="M32" s="546" t="s">
        <v>764</v>
      </c>
    </row>
    <row r="35" spans="7:13" s="534" customFormat="1" ht="16" thickBot="1" x14ac:dyDescent="0.25"/>
    <row r="36" spans="7:13" ht="16" thickTop="1" x14ac:dyDescent="0.2"/>
    <row r="37" spans="7:13" x14ac:dyDescent="0.2">
      <c r="G37">
        <f>G17+G32</f>
        <v>150355.32</v>
      </c>
      <c r="H37" t="s">
        <v>725</v>
      </c>
    </row>
    <row r="40" spans="7:13" x14ac:dyDescent="0.2">
      <c r="G40">
        <v>150000</v>
      </c>
      <c r="H40" t="s">
        <v>765</v>
      </c>
    </row>
    <row r="41" spans="7:13" x14ac:dyDescent="0.2">
      <c r="G41">
        <v>201000</v>
      </c>
      <c r="H41" t="s">
        <v>766</v>
      </c>
    </row>
    <row r="42" spans="7:13" ht="16" thickBot="1" x14ac:dyDescent="0.25"/>
    <row r="43" spans="7:13" ht="16" thickBot="1" x14ac:dyDescent="0.25">
      <c r="G43" s="545">
        <f>G37+G40+G41</f>
        <v>501355.32</v>
      </c>
      <c r="H43" s="546" t="s">
        <v>768</v>
      </c>
      <c r="L43" s="545">
        <f>L16+L32</f>
        <v>805396.5</v>
      </c>
      <c r="M43" s="546" t="s">
        <v>769</v>
      </c>
    </row>
    <row r="44" spans="7:13" x14ac:dyDescent="0.2">
      <c r="G44" s="554"/>
      <c r="H44" s="554"/>
    </row>
    <row r="45" spans="7:13" x14ac:dyDescent="0.2">
      <c r="G45" s="554">
        <v>402698.25</v>
      </c>
      <c r="H45" s="554" t="s">
        <v>770</v>
      </c>
      <c r="L45" s="555">
        <f>L43*0.5</f>
        <v>402698.25</v>
      </c>
      <c r="M45" s="555" t="s">
        <v>771</v>
      </c>
    </row>
    <row r="46" spans="7:13" x14ac:dyDescent="0.2">
      <c r="G46" s="556">
        <f>G43-G45</f>
        <v>98657.07</v>
      </c>
      <c r="H46" s="557" t="s">
        <v>772</v>
      </c>
      <c r="L46" s="556">
        <v>402698.25</v>
      </c>
      <c r="M46" s="557" t="s">
        <v>772</v>
      </c>
    </row>
    <row r="50" spans="1:2" x14ac:dyDescent="0.2">
      <c r="A50" t="s">
        <v>773</v>
      </c>
    </row>
    <row r="51" spans="1:2" x14ac:dyDescent="0.2">
      <c r="A51" t="s">
        <v>774</v>
      </c>
    </row>
    <row r="52" spans="1:2" x14ac:dyDescent="0.2">
      <c r="A52" t="s">
        <v>775</v>
      </c>
    </row>
    <row r="53" spans="1:2" x14ac:dyDescent="0.2">
      <c r="A53" t="s">
        <v>776</v>
      </c>
    </row>
    <row r="55" spans="1:2" x14ac:dyDescent="0.2">
      <c r="A55" t="s">
        <v>777</v>
      </c>
      <c r="B55" t="s">
        <v>791</v>
      </c>
    </row>
    <row r="56" spans="1:2" x14ac:dyDescent="0.2">
      <c r="A56" t="s">
        <v>778</v>
      </c>
      <c r="B56" t="s">
        <v>792</v>
      </c>
    </row>
    <row r="57" spans="1:2" x14ac:dyDescent="0.2">
      <c r="A57" t="s">
        <v>779</v>
      </c>
      <c r="B57" t="s">
        <v>780</v>
      </c>
    </row>
  </sheetData>
  <pageMargins left="0.7" right="0.7" top="0.75" bottom="0.75" header="0.3" footer="0.3"/>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
  <sheetViews>
    <sheetView workbookViewId="0"/>
  </sheetViews>
  <sheetFormatPr baseColWidth="10" defaultRowHeight="15" x14ac:dyDescent="0.2"/>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filterMode="1"/>
  <dimension ref="B3:L188"/>
  <sheetViews>
    <sheetView topLeftCell="E118" workbookViewId="0">
      <selection activeCell="J131" sqref="J131"/>
    </sheetView>
  </sheetViews>
  <sheetFormatPr baseColWidth="10" defaultRowHeight="15" outlineLevelRow="1" x14ac:dyDescent="0.2"/>
  <cols>
    <col min="4" max="4" width="19.5" customWidth="1"/>
    <col min="5" max="5" width="14.5" bestFit="1" customWidth="1"/>
    <col min="6" max="6" width="30.33203125" bestFit="1" customWidth="1"/>
    <col min="7" max="7" width="35.33203125" bestFit="1" customWidth="1"/>
    <col min="8" max="8" width="32.6640625" bestFit="1" customWidth="1"/>
    <col min="9" max="9" width="37.6640625" bestFit="1" customWidth="1"/>
    <col min="11" max="11" width="16.33203125" bestFit="1" customWidth="1"/>
  </cols>
  <sheetData>
    <row r="3" spans="2:11" x14ac:dyDescent="0.2">
      <c r="B3" s="122" t="s">
        <v>874</v>
      </c>
    </row>
    <row r="4" spans="2:11" x14ac:dyDescent="0.2">
      <c r="B4" s="122" t="s">
        <v>875</v>
      </c>
      <c r="H4" s="571" t="s">
        <v>876</v>
      </c>
    </row>
    <row r="5" spans="2:11" x14ac:dyDescent="0.2">
      <c r="B5" s="122" t="s">
        <v>877</v>
      </c>
    </row>
    <row r="6" spans="2:11" x14ac:dyDescent="0.2">
      <c r="B6" s="122" t="s">
        <v>878</v>
      </c>
    </row>
    <row r="7" spans="2:11" x14ac:dyDescent="0.2">
      <c r="B7" s="122" t="s">
        <v>879</v>
      </c>
    </row>
    <row r="8" spans="2:11" x14ac:dyDescent="0.2">
      <c r="B8" s="122" t="s">
        <v>880</v>
      </c>
    </row>
    <row r="9" spans="2:11" x14ac:dyDescent="0.2">
      <c r="B9" s="2"/>
      <c r="J9" s="670"/>
      <c r="K9" s="670" t="s">
        <v>1298</v>
      </c>
    </row>
    <row r="10" spans="2:11" x14ac:dyDescent="0.2">
      <c r="B10" s="588" t="s">
        <v>881</v>
      </c>
      <c r="C10" s="588" t="s">
        <v>882</v>
      </c>
      <c r="D10" s="588" t="s">
        <v>883</v>
      </c>
      <c r="E10" s="588" t="s">
        <v>884</v>
      </c>
      <c r="F10" s="588" t="s">
        <v>885</v>
      </c>
      <c r="G10" s="588" t="s">
        <v>886</v>
      </c>
      <c r="H10" s="588" t="s">
        <v>887</v>
      </c>
      <c r="I10" s="595" t="s">
        <v>888</v>
      </c>
      <c r="J10" s="669" t="s">
        <v>1296</v>
      </c>
      <c r="K10" s="669" t="s">
        <v>1297</v>
      </c>
    </row>
    <row r="11" spans="2:11" outlineLevel="1" x14ac:dyDescent="0.2">
      <c r="B11" s="589" t="s">
        <v>889</v>
      </c>
      <c r="C11" s="589" t="s">
        <v>890</v>
      </c>
      <c r="D11" s="589" t="s">
        <v>891</v>
      </c>
      <c r="E11" s="589">
        <v>13</v>
      </c>
      <c r="F11" s="589">
        <v>13</v>
      </c>
      <c r="G11" s="590">
        <v>7150</v>
      </c>
      <c r="H11" s="589">
        <v>0</v>
      </c>
      <c r="I11" s="589">
        <v>0</v>
      </c>
      <c r="J11" s="671">
        <f>I11/E11</f>
        <v>0</v>
      </c>
      <c r="K11" s="672">
        <f>J11/0.27</f>
        <v>0</v>
      </c>
    </row>
    <row r="12" spans="2:11" outlineLevel="1" x14ac:dyDescent="0.2">
      <c r="B12" s="589" t="s">
        <v>892</v>
      </c>
      <c r="C12" s="589" t="s">
        <v>893</v>
      </c>
      <c r="D12" s="589" t="s">
        <v>891</v>
      </c>
      <c r="E12" s="589">
        <v>80</v>
      </c>
      <c r="F12" s="589">
        <v>0</v>
      </c>
      <c r="G12" s="589">
        <v>0</v>
      </c>
      <c r="H12" s="589">
        <v>80</v>
      </c>
      <c r="I12" s="590">
        <v>5400</v>
      </c>
      <c r="J12" s="671">
        <f t="shared" ref="J12:J75" si="0">I12/E12</f>
        <v>67.5</v>
      </c>
      <c r="K12" s="672">
        <f t="shared" ref="K12:K75" si="1">J12/0.27</f>
        <v>249.99999999999997</v>
      </c>
    </row>
    <row r="13" spans="2:11" outlineLevel="1" x14ac:dyDescent="0.2">
      <c r="B13" s="589" t="s">
        <v>894</v>
      </c>
      <c r="C13" s="589" t="s">
        <v>895</v>
      </c>
      <c r="D13" s="589" t="s">
        <v>891</v>
      </c>
      <c r="E13" s="589">
        <v>4</v>
      </c>
      <c r="F13" s="589">
        <v>4</v>
      </c>
      <c r="G13" s="589">
        <v>43.2</v>
      </c>
      <c r="H13" s="589">
        <v>0</v>
      </c>
      <c r="I13" s="589">
        <v>0</v>
      </c>
      <c r="J13" s="671">
        <f t="shared" si="0"/>
        <v>0</v>
      </c>
      <c r="K13" s="672">
        <f t="shared" si="1"/>
        <v>0</v>
      </c>
    </row>
    <row r="14" spans="2:11" outlineLevel="1" x14ac:dyDescent="0.2">
      <c r="B14" s="589" t="s">
        <v>896</v>
      </c>
      <c r="C14" s="589" t="s">
        <v>897</v>
      </c>
      <c r="D14" s="589" t="s">
        <v>891</v>
      </c>
      <c r="E14" s="589">
        <v>407</v>
      </c>
      <c r="F14" s="589">
        <v>405</v>
      </c>
      <c r="G14" s="590">
        <v>7654.5</v>
      </c>
      <c r="H14" s="589">
        <v>2</v>
      </c>
      <c r="I14" s="589">
        <v>37.799999999999997</v>
      </c>
      <c r="J14" s="671">
        <f t="shared" si="0"/>
        <v>9.2874692874692868E-2</v>
      </c>
      <c r="K14" s="672">
        <f t="shared" si="1"/>
        <v>0.34398034398034394</v>
      </c>
    </row>
    <row r="15" spans="2:11" outlineLevel="1" x14ac:dyDescent="0.2">
      <c r="B15" s="589" t="s">
        <v>898</v>
      </c>
      <c r="C15" s="589" t="s">
        <v>899</v>
      </c>
      <c r="D15" s="589" t="s">
        <v>891</v>
      </c>
      <c r="E15" s="589">
        <v>61</v>
      </c>
      <c r="F15" s="589">
        <v>60</v>
      </c>
      <c r="G15" s="590">
        <v>1134</v>
      </c>
      <c r="H15" s="589">
        <v>1</v>
      </c>
      <c r="I15" s="589">
        <v>18.899999999999999</v>
      </c>
      <c r="J15" s="671">
        <f t="shared" si="0"/>
        <v>0.30983606557377047</v>
      </c>
      <c r="K15" s="672">
        <f t="shared" si="1"/>
        <v>1.1475409836065573</v>
      </c>
    </row>
    <row r="16" spans="2:11" outlineLevel="1" x14ac:dyDescent="0.2">
      <c r="B16" s="589" t="s">
        <v>900</v>
      </c>
      <c r="C16" s="589" t="s">
        <v>901</v>
      </c>
      <c r="D16" s="589" t="s">
        <v>891</v>
      </c>
      <c r="E16" s="589">
        <v>67</v>
      </c>
      <c r="F16" s="589">
        <v>67</v>
      </c>
      <c r="G16" s="590">
        <v>5427</v>
      </c>
      <c r="H16" s="589">
        <v>0</v>
      </c>
      <c r="I16" s="589">
        <v>0</v>
      </c>
      <c r="J16" s="671">
        <f t="shared" si="0"/>
        <v>0</v>
      </c>
      <c r="K16" s="672">
        <f t="shared" si="1"/>
        <v>0</v>
      </c>
    </row>
    <row r="17" spans="2:11" outlineLevel="1" x14ac:dyDescent="0.2">
      <c r="B17" s="589" t="s">
        <v>902</v>
      </c>
      <c r="C17" s="589" t="s">
        <v>903</v>
      </c>
      <c r="D17" s="589" t="s">
        <v>891</v>
      </c>
      <c r="E17" s="589">
        <v>22</v>
      </c>
      <c r="F17" s="589">
        <v>22</v>
      </c>
      <c r="G17" s="589">
        <v>415.8</v>
      </c>
      <c r="H17" s="589">
        <v>0</v>
      </c>
      <c r="I17" s="589">
        <v>0</v>
      </c>
      <c r="J17" s="671">
        <f t="shared" si="0"/>
        <v>0</v>
      </c>
      <c r="K17" s="672">
        <f t="shared" si="1"/>
        <v>0</v>
      </c>
    </row>
    <row r="18" spans="2:11" outlineLevel="1" x14ac:dyDescent="0.2">
      <c r="B18" s="589" t="s">
        <v>904</v>
      </c>
      <c r="C18" s="589" t="s">
        <v>905</v>
      </c>
      <c r="D18" s="589" t="s">
        <v>891</v>
      </c>
      <c r="E18" s="589">
        <v>17</v>
      </c>
      <c r="F18" s="589">
        <v>17</v>
      </c>
      <c r="G18" s="589">
        <v>321.3</v>
      </c>
      <c r="H18" s="589">
        <v>0</v>
      </c>
      <c r="I18" s="589">
        <v>0</v>
      </c>
      <c r="J18" s="671">
        <f t="shared" si="0"/>
        <v>0</v>
      </c>
      <c r="K18" s="672">
        <f t="shared" si="1"/>
        <v>0</v>
      </c>
    </row>
    <row r="19" spans="2:11" outlineLevel="1" x14ac:dyDescent="0.2">
      <c r="B19" s="589" t="s">
        <v>906</v>
      </c>
      <c r="C19" s="589" t="s">
        <v>907</v>
      </c>
      <c r="D19" s="589" t="s">
        <v>891</v>
      </c>
      <c r="E19" s="589">
        <v>17</v>
      </c>
      <c r="F19" s="589">
        <v>17</v>
      </c>
      <c r="G19" s="589">
        <v>321.3</v>
      </c>
      <c r="H19" s="589">
        <v>0</v>
      </c>
      <c r="I19" s="589">
        <v>0</v>
      </c>
      <c r="J19" s="671">
        <f t="shared" si="0"/>
        <v>0</v>
      </c>
      <c r="K19" s="672">
        <f t="shared" si="1"/>
        <v>0</v>
      </c>
    </row>
    <row r="20" spans="2:11" outlineLevel="1" x14ac:dyDescent="0.2">
      <c r="B20" s="589" t="s">
        <v>908</v>
      </c>
      <c r="C20" s="589" t="s">
        <v>909</v>
      </c>
      <c r="D20" s="589" t="s">
        <v>891</v>
      </c>
      <c r="E20" s="589">
        <v>158</v>
      </c>
      <c r="F20" s="589">
        <v>127</v>
      </c>
      <c r="G20" s="590">
        <v>10287</v>
      </c>
      <c r="H20" s="589">
        <v>31</v>
      </c>
      <c r="I20" s="590">
        <v>2511</v>
      </c>
      <c r="J20" s="671">
        <f t="shared" si="0"/>
        <v>15.89240506329114</v>
      </c>
      <c r="K20" s="672">
        <f t="shared" si="1"/>
        <v>58.860759493670884</v>
      </c>
    </row>
    <row r="21" spans="2:11" outlineLevel="1" x14ac:dyDescent="0.2">
      <c r="B21" s="589" t="s">
        <v>910</v>
      </c>
      <c r="C21" s="589" t="s">
        <v>911</v>
      </c>
      <c r="D21" s="589" t="s">
        <v>891</v>
      </c>
      <c r="E21" s="589">
        <v>139</v>
      </c>
      <c r="F21" s="589">
        <v>139</v>
      </c>
      <c r="G21" s="590">
        <v>5629.5</v>
      </c>
      <c r="H21" s="589">
        <v>0</v>
      </c>
      <c r="I21" s="589">
        <v>0</v>
      </c>
      <c r="J21" s="671">
        <f t="shared" si="0"/>
        <v>0</v>
      </c>
      <c r="K21" s="672">
        <f t="shared" si="1"/>
        <v>0</v>
      </c>
    </row>
    <row r="22" spans="2:11" outlineLevel="1" x14ac:dyDescent="0.2">
      <c r="B22" s="589" t="s">
        <v>912</v>
      </c>
      <c r="C22" s="589" t="s">
        <v>913</v>
      </c>
      <c r="D22" s="589" t="s">
        <v>891</v>
      </c>
      <c r="E22" s="589">
        <v>25</v>
      </c>
      <c r="F22" s="589">
        <v>25</v>
      </c>
      <c r="G22" s="589">
        <v>472.5</v>
      </c>
      <c r="H22" s="589">
        <v>0</v>
      </c>
      <c r="I22" s="589">
        <v>0</v>
      </c>
      <c r="J22" s="671">
        <f t="shared" si="0"/>
        <v>0</v>
      </c>
      <c r="K22" s="672">
        <f t="shared" si="1"/>
        <v>0</v>
      </c>
    </row>
    <row r="23" spans="2:11" outlineLevel="1" x14ac:dyDescent="0.2">
      <c r="B23" s="589" t="s">
        <v>914</v>
      </c>
      <c r="C23" s="589" t="s">
        <v>915</v>
      </c>
      <c r="D23" s="589" t="s">
        <v>891</v>
      </c>
      <c r="E23" s="589">
        <v>5</v>
      </c>
      <c r="F23" s="589">
        <v>0</v>
      </c>
      <c r="G23" s="589">
        <v>0</v>
      </c>
      <c r="H23" s="589">
        <v>5</v>
      </c>
      <c r="I23" s="589">
        <v>94.5</v>
      </c>
      <c r="J23" s="671">
        <f t="shared" si="0"/>
        <v>18.899999999999999</v>
      </c>
      <c r="K23" s="672">
        <f t="shared" si="1"/>
        <v>69.999999999999986</v>
      </c>
    </row>
    <row r="24" spans="2:11" outlineLevel="1" x14ac:dyDescent="0.2">
      <c r="B24" s="589" t="s">
        <v>916</v>
      </c>
      <c r="C24" s="589" t="s">
        <v>917</v>
      </c>
      <c r="D24" s="589" t="s">
        <v>891</v>
      </c>
      <c r="E24" s="589">
        <v>1</v>
      </c>
      <c r="F24" s="589">
        <v>0</v>
      </c>
      <c r="G24" s="589">
        <v>0</v>
      </c>
      <c r="H24" s="589">
        <v>1</v>
      </c>
      <c r="I24" s="589">
        <v>48.6</v>
      </c>
      <c r="J24" s="671">
        <f t="shared" si="0"/>
        <v>48.6</v>
      </c>
      <c r="K24" s="672">
        <f t="shared" si="1"/>
        <v>180</v>
      </c>
    </row>
    <row r="25" spans="2:11" outlineLevel="1" x14ac:dyDescent="0.2">
      <c r="B25" s="589" t="s">
        <v>918</v>
      </c>
      <c r="C25" s="589" t="s">
        <v>919</v>
      </c>
      <c r="D25" s="589" t="s">
        <v>891</v>
      </c>
      <c r="E25" s="589">
        <v>5</v>
      </c>
      <c r="F25" s="589">
        <v>0</v>
      </c>
      <c r="G25" s="589">
        <v>0</v>
      </c>
      <c r="H25" s="589">
        <v>5</v>
      </c>
      <c r="I25" s="589">
        <v>135</v>
      </c>
      <c r="J25" s="671">
        <f t="shared" si="0"/>
        <v>27</v>
      </c>
      <c r="K25" s="672">
        <f t="shared" si="1"/>
        <v>100</v>
      </c>
    </row>
    <row r="26" spans="2:11" outlineLevel="1" x14ac:dyDescent="0.2">
      <c r="B26" s="589" t="s">
        <v>920</v>
      </c>
      <c r="C26" s="589" t="s">
        <v>921</v>
      </c>
      <c r="D26" s="589" t="s">
        <v>891</v>
      </c>
      <c r="E26" s="589">
        <v>6</v>
      </c>
      <c r="F26" s="589">
        <v>0</v>
      </c>
      <c r="G26" s="589">
        <v>0</v>
      </c>
      <c r="H26" s="589">
        <v>6</v>
      </c>
      <c r="I26" s="589">
        <v>648</v>
      </c>
      <c r="J26" s="671">
        <f t="shared" si="0"/>
        <v>108</v>
      </c>
      <c r="K26" s="672">
        <f t="shared" si="1"/>
        <v>400</v>
      </c>
    </row>
    <row r="27" spans="2:11" outlineLevel="1" x14ac:dyDescent="0.2">
      <c r="B27" s="589" t="s">
        <v>922</v>
      </c>
      <c r="C27" s="589" t="s">
        <v>923</v>
      </c>
      <c r="D27" s="589" t="s">
        <v>891</v>
      </c>
      <c r="E27" s="589">
        <v>1</v>
      </c>
      <c r="F27" s="589">
        <v>0</v>
      </c>
      <c r="G27" s="589">
        <v>0</v>
      </c>
      <c r="H27" s="589">
        <v>1</v>
      </c>
      <c r="I27" s="589">
        <v>70.2</v>
      </c>
      <c r="J27" s="671">
        <f t="shared" si="0"/>
        <v>70.2</v>
      </c>
      <c r="K27" s="672">
        <f t="shared" si="1"/>
        <v>260</v>
      </c>
    </row>
    <row r="28" spans="2:11" outlineLevel="1" x14ac:dyDescent="0.2">
      <c r="B28" s="589" t="s">
        <v>924</v>
      </c>
      <c r="C28" s="589" t="s">
        <v>925</v>
      </c>
      <c r="D28" s="589" t="s">
        <v>891</v>
      </c>
      <c r="E28" s="589">
        <v>13</v>
      </c>
      <c r="F28" s="589">
        <v>13</v>
      </c>
      <c r="G28" s="589">
        <v>245.7</v>
      </c>
      <c r="H28" s="589">
        <v>0</v>
      </c>
      <c r="I28" s="589">
        <v>0</v>
      </c>
      <c r="J28" s="671">
        <f t="shared" si="0"/>
        <v>0</v>
      </c>
      <c r="K28" s="672">
        <f t="shared" si="1"/>
        <v>0</v>
      </c>
    </row>
    <row r="29" spans="2:11" outlineLevel="1" x14ac:dyDescent="0.2">
      <c r="B29" s="589" t="s">
        <v>926</v>
      </c>
      <c r="C29" s="589" t="s">
        <v>927</v>
      </c>
      <c r="D29" s="589" t="s">
        <v>891</v>
      </c>
      <c r="E29" s="589">
        <v>14</v>
      </c>
      <c r="F29" s="589">
        <v>14</v>
      </c>
      <c r="G29" s="589">
        <v>680.4</v>
      </c>
      <c r="H29" s="589">
        <v>0</v>
      </c>
      <c r="I29" s="589">
        <v>0</v>
      </c>
      <c r="J29" s="671">
        <f t="shared" si="0"/>
        <v>0</v>
      </c>
      <c r="K29" s="672">
        <f t="shared" si="1"/>
        <v>0</v>
      </c>
    </row>
    <row r="30" spans="2:11" outlineLevel="1" x14ac:dyDescent="0.2">
      <c r="B30" s="589" t="s">
        <v>928</v>
      </c>
      <c r="C30" s="589" t="s">
        <v>929</v>
      </c>
      <c r="D30" s="589" t="s">
        <v>891</v>
      </c>
      <c r="E30" s="589">
        <v>59</v>
      </c>
      <c r="F30" s="589">
        <v>59</v>
      </c>
      <c r="G30" s="590">
        <v>3186</v>
      </c>
      <c r="H30" s="589">
        <v>0</v>
      </c>
      <c r="I30" s="589">
        <v>0</v>
      </c>
      <c r="J30" s="671">
        <f t="shared" si="0"/>
        <v>0</v>
      </c>
      <c r="K30" s="672">
        <f t="shared" si="1"/>
        <v>0</v>
      </c>
    </row>
    <row r="31" spans="2:11" outlineLevel="1" x14ac:dyDescent="0.2">
      <c r="B31" s="589" t="s">
        <v>930</v>
      </c>
      <c r="C31" s="589" t="s">
        <v>931</v>
      </c>
      <c r="D31" s="589" t="s">
        <v>891</v>
      </c>
      <c r="E31" s="589">
        <v>84</v>
      </c>
      <c r="F31" s="589">
        <v>4</v>
      </c>
      <c r="G31" s="589">
        <v>324</v>
      </c>
      <c r="H31" s="589">
        <v>80</v>
      </c>
      <c r="I31" s="590">
        <v>6480</v>
      </c>
      <c r="J31" s="671">
        <f t="shared" si="0"/>
        <v>77.142857142857139</v>
      </c>
      <c r="K31" s="672">
        <f t="shared" si="1"/>
        <v>285.71428571428567</v>
      </c>
    </row>
    <row r="32" spans="2:11" outlineLevel="1" x14ac:dyDescent="0.2">
      <c r="B32" s="589" t="s">
        <v>932</v>
      </c>
      <c r="C32" s="589" t="s">
        <v>933</v>
      </c>
      <c r="D32" s="589" t="s">
        <v>891</v>
      </c>
      <c r="E32" s="589">
        <v>236</v>
      </c>
      <c r="F32" s="589">
        <v>25</v>
      </c>
      <c r="G32" s="590">
        <v>2025</v>
      </c>
      <c r="H32" s="589">
        <v>211</v>
      </c>
      <c r="I32" s="590">
        <v>17091</v>
      </c>
      <c r="J32" s="671">
        <f t="shared" si="0"/>
        <v>72.419491525423723</v>
      </c>
      <c r="K32" s="672">
        <f t="shared" si="1"/>
        <v>268.22033898305079</v>
      </c>
    </row>
    <row r="33" spans="2:11" outlineLevel="1" x14ac:dyDescent="0.2">
      <c r="B33" s="589" t="s">
        <v>934</v>
      </c>
      <c r="C33" s="589" t="s">
        <v>935</v>
      </c>
      <c r="D33" s="589" t="s">
        <v>891</v>
      </c>
      <c r="E33" s="589">
        <v>26</v>
      </c>
      <c r="F33" s="589">
        <v>26</v>
      </c>
      <c r="G33" s="589">
        <v>702</v>
      </c>
      <c r="H33" s="589">
        <v>0</v>
      </c>
      <c r="I33" s="589">
        <v>0</v>
      </c>
      <c r="J33" s="671">
        <f t="shared" si="0"/>
        <v>0</v>
      </c>
      <c r="K33" s="672">
        <f t="shared" si="1"/>
        <v>0</v>
      </c>
    </row>
    <row r="34" spans="2:11" outlineLevel="1" x14ac:dyDescent="0.2">
      <c r="B34" s="589" t="s">
        <v>936</v>
      </c>
      <c r="C34" s="589" t="s">
        <v>937</v>
      </c>
      <c r="D34" s="589" t="s">
        <v>891</v>
      </c>
      <c r="E34" s="589">
        <v>32</v>
      </c>
      <c r="F34" s="589">
        <v>32</v>
      </c>
      <c r="G34" s="589">
        <v>864</v>
      </c>
      <c r="H34" s="589">
        <v>0</v>
      </c>
      <c r="I34" s="589">
        <v>0</v>
      </c>
      <c r="J34" s="671">
        <f t="shared" si="0"/>
        <v>0</v>
      </c>
      <c r="K34" s="672">
        <f t="shared" si="1"/>
        <v>0</v>
      </c>
    </row>
    <row r="35" spans="2:11" outlineLevel="1" x14ac:dyDescent="0.2">
      <c r="B35" s="589" t="s">
        <v>938</v>
      </c>
      <c r="C35" s="589" t="s">
        <v>939</v>
      </c>
      <c r="D35" s="589" t="s">
        <v>891</v>
      </c>
      <c r="E35" s="589">
        <v>51</v>
      </c>
      <c r="F35" s="589">
        <v>51</v>
      </c>
      <c r="G35" s="589">
        <v>963.9</v>
      </c>
      <c r="H35" s="589">
        <v>0</v>
      </c>
      <c r="I35" s="589">
        <v>0</v>
      </c>
      <c r="J35" s="671">
        <f t="shared" si="0"/>
        <v>0</v>
      </c>
      <c r="K35" s="672">
        <f t="shared" si="1"/>
        <v>0</v>
      </c>
    </row>
    <row r="36" spans="2:11" outlineLevel="1" x14ac:dyDescent="0.2">
      <c r="B36" s="589" t="s">
        <v>940</v>
      </c>
      <c r="C36" s="589" t="s">
        <v>941</v>
      </c>
      <c r="D36" s="589" t="s">
        <v>891</v>
      </c>
      <c r="E36" s="589">
        <v>285</v>
      </c>
      <c r="F36" s="589">
        <v>285</v>
      </c>
      <c r="G36" s="590">
        <v>15390</v>
      </c>
      <c r="H36" s="589">
        <v>0</v>
      </c>
      <c r="I36" s="589">
        <v>0</v>
      </c>
      <c r="J36" s="671">
        <f t="shared" si="0"/>
        <v>0</v>
      </c>
      <c r="K36" s="672">
        <f t="shared" si="1"/>
        <v>0</v>
      </c>
    </row>
    <row r="37" spans="2:11" outlineLevel="1" x14ac:dyDescent="0.2">
      <c r="B37" s="589" t="s">
        <v>942</v>
      </c>
      <c r="C37" s="589" t="s">
        <v>943</v>
      </c>
      <c r="D37" s="589" t="s">
        <v>891</v>
      </c>
      <c r="E37" s="589">
        <v>176</v>
      </c>
      <c r="F37" s="589">
        <v>176</v>
      </c>
      <c r="G37" s="590">
        <v>6652.8</v>
      </c>
      <c r="H37" s="589">
        <v>0</v>
      </c>
      <c r="I37" s="589">
        <v>0</v>
      </c>
      <c r="J37" s="671">
        <f t="shared" si="0"/>
        <v>0</v>
      </c>
      <c r="K37" s="672">
        <f t="shared" si="1"/>
        <v>0</v>
      </c>
    </row>
    <row r="38" spans="2:11" outlineLevel="1" x14ac:dyDescent="0.2">
      <c r="B38" s="589" t="s">
        <v>944</v>
      </c>
      <c r="C38" s="589" t="s">
        <v>945</v>
      </c>
      <c r="D38" s="589" t="s">
        <v>891</v>
      </c>
      <c r="E38" s="589">
        <v>5</v>
      </c>
      <c r="F38" s="589">
        <v>5</v>
      </c>
      <c r="G38" s="589">
        <v>189</v>
      </c>
      <c r="H38" s="589">
        <v>0</v>
      </c>
      <c r="I38" s="589">
        <v>0</v>
      </c>
      <c r="J38" s="671">
        <f t="shared" si="0"/>
        <v>0</v>
      </c>
      <c r="K38" s="672">
        <f t="shared" si="1"/>
        <v>0</v>
      </c>
    </row>
    <row r="39" spans="2:11" outlineLevel="1" x14ac:dyDescent="0.2">
      <c r="B39" s="589" t="s">
        <v>946</v>
      </c>
      <c r="C39" s="589" t="s">
        <v>947</v>
      </c>
      <c r="D39" s="589" t="s">
        <v>891</v>
      </c>
      <c r="E39" s="589">
        <v>68</v>
      </c>
      <c r="F39" s="589">
        <v>68</v>
      </c>
      <c r="G39" s="590">
        <v>2386.8000000000002</v>
      </c>
      <c r="H39" s="589">
        <v>0</v>
      </c>
      <c r="I39" s="589">
        <v>0</v>
      </c>
      <c r="J39" s="671">
        <f t="shared" si="0"/>
        <v>0</v>
      </c>
      <c r="K39" s="672">
        <f t="shared" si="1"/>
        <v>0</v>
      </c>
    </row>
    <row r="40" spans="2:11" outlineLevel="1" x14ac:dyDescent="0.2">
      <c r="B40" s="589" t="s">
        <v>948</v>
      </c>
      <c r="C40" s="589" t="s">
        <v>949</v>
      </c>
      <c r="D40" s="589" t="s">
        <v>891</v>
      </c>
      <c r="E40" s="589">
        <v>1</v>
      </c>
      <c r="F40" s="589">
        <v>0</v>
      </c>
      <c r="G40" s="589">
        <v>0</v>
      </c>
      <c r="H40" s="589">
        <v>1</v>
      </c>
      <c r="I40" s="589">
        <v>24.3</v>
      </c>
      <c r="J40" s="671">
        <f t="shared" si="0"/>
        <v>24.3</v>
      </c>
      <c r="K40" s="672">
        <f t="shared" si="1"/>
        <v>90</v>
      </c>
    </row>
    <row r="41" spans="2:11" outlineLevel="1" x14ac:dyDescent="0.2">
      <c r="B41" s="589" t="s">
        <v>950</v>
      </c>
      <c r="C41" s="589" t="s">
        <v>951</v>
      </c>
      <c r="D41" s="589" t="s">
        <v>891</v>
      </c>
      <c r="E41" s="589">
        <v>1</v>
      </c>
      <c r="F41" s="589">
        <v>0</v>
      </c>
      <c r="G41" s="589">
        <v>0</v>
      </c>
      <c r="H41" s="589">
        <v>1</v>
      </c>
      <c r="I41" s="589">
        <v>22.95</v>
      </c>
      <c r="J41" s="671">
        <f t="shared" si="0"/>
        <v>22.95</v>
      </c>
      <c r="K41" s="672">
        <f t="shared" si="1"/>
        <v>84.999999999999986</v>
      </c>
    </row>
    <row r="42" spans="2:11" outlineLevel="1" x14ac:dyDescent="0.2">
      <c r="B42" s="589" t="s">
        <v>952</v>
      </c>
      <c r="C42" s="589" t="s">
        <v>953</v>
      </c>
      <c r="D42" s="589" t="s">
        <v>891</v>
      </c>
      <c r="E42" s="589">
        <v>4</v>
      </c>
      <c r="F42" s="589">
        <v>4</v>
      </c>
      <c r="G42" s="589">
        <v>64.8</v>
      </c>
      <c r="H42" s="589">
        <v>0</v>
      </c>
      <c r="I42" s="589">
        <v>0</v>
      </c>
      <c r="J42" s="671">
        <f t="shared" si="0"/>
        <v>0</v>
      </c>
      <c r="K42" s="672">
        <f t="shared" si="1"/>
        <v>0</v>
      </c>
    </row>
    <row r="43" spans="2:11" outlineLevel="1" x14ac:dyDescent="0.2">
      <c r="B43" s="589" t="s">
        <v>954</v>
      </c>
      <c r="C43" s="589" t="s">
        <v>955</v>
      </c>
      <c r="D43" s="589" t="s">
        <v>891</v>
      </c>
      <c r="E43" s="589">
        <v>246</v>
      </c>
      <c r="F43" s="589">
        <v>59</v>
      </c>
      <c r="G43" s="590">
        <v>3186</v>
      </c>
      <c r="H43" s="589">
        <v>187</v>
      </c>
      <c r="I43" s="590">
        <v>10098</v>
      </c>
      <c r="J43" s="671">
        <f t="shared" si="0"/>
        <v>41.048780487804876</v>
      </c>
      <c r="K43" s="672">
        <f t="shared" si="1"/>
        <v>152.03252032520322</v>
      </c>
    </row>
    <row r="44" spans="2:11" outlineLevel="1" x14ac:dyDescent="0.2">
      <c r="B44" s="589" t="s">
        <v>956</v>
      </c>
      <c r="C44" s="589" t="s">
        <v>957</v>
      </c>
      <c r="D44" s="589" t="s">
        <v>891</v>
      </c>
      <c r="E44" s="589">
        <v>25</v>
      </c>
      <c r="F44" s="589">
        <v>25</v>
      </c>
      <c r="G44" s="589">
        <v>472.5</v>
      </c>
      <c r="H44" s="589">
        <v>0</v>
      </c>
      <c r="I44" s="589">
        <v>0</v>
      </c>
      <c r="J44" s="671">
        <f t="shared" si="0"/>
        <v>0</v>
      </c>
      <c r="K44" s="672">
        <f t="shared" si="1"/>
        <v>0</v>
      </c>
    </row>
    <row r="45" spans="2:11" outlineLevel="1" x14ac:dyDescent="0.2">
      <c r="B45" s="589" t="s">
        <v>958</v>
      </c>
      <c r="C45" s="589" t="s">
        <v>959</v>
      </c>
      <c r="D45" s="589" t="s">
        <v>891</v>
      </c>
      <c r="E45" s="589">
        <v>1</v>
      </c>
      <c r="F45" s="589">
        <v>1</v>
      </c>
      <c r="G45" s="589">
        <v>16.2</v>
      </c>
      <c r="H45" s="589">
        <v>0</v>
      </c>
      <c r="I45" s="589">
        <v>0</v>
      </c>
      <c r="J45" s="671">
        <f t="shared" si="0"/>
        <v>0</v>
      </c>
      <c r="K45" s="672">
        <f t="shared" si="1"/>
        <v>0</v>
      </c>
    </row>
    <row r="46" spans="2:11" outlineLevel="1" x14ac:dyDescent="0.2">
      <c r="B46" s="589" t="s">
        <v>960</v>
      </c>
      <c r="C46" s="589" t="s">
        <v>961</v>
      </c>
      <c r="D46" s="589" t="s">
        <v>891</v>
      </c>
      <c r="E46" s="589">
        <v>140</v>
      </c>
      <c r="F46" s="589">
        <v>140</v>
      </c>
      <c r="G46" s="590">
        <v>5670</v>
      </c>
      <c r="H46" s="589">
        <v>0</v>
      </c>
      <c r="I46" s="589">
        <v>0</v>
      </c>
      <c r="J46" s="671">
        <f t="shared" si="0"/>
        <v>0</v>
      </c>
      <c r="K46" s="672">
        <f t="shared" si="1"/>
        <v>0</v>
      </c>
    </row>
    <row r="47" spans="2:11" outlineLevel="1" x14ac:dyDescent="0.2">
      <c r="B47" s="589" t="s">
        <v>962</v>
      </c>
      <c r="C47" s="589" t="s">
        <v>963</v>
      </c>
      <c r="D47" s="589" t="s">
        <v>891</v>
      </c>
      <c r="E47" s="589">
        <v>635</v>
      </c>
      <c r="F47" s="589">
        <v>635</v>
      </c>
      <c r="G47" s="590">
        <v>18859.5</v>
      </c>
      <c r="H47" s="589">
        <v>0</v>
      </c>
      <c r="I47" s="589">
        <v>0</v>
      </c>
      <c r="J47" s="671">
        <f t="shared" si="0"/>
        <v>0</v>
      </c>
      <c r="K47" s="672">
        <f t="shared" si="1"/>
        <v>0</v>
      </c>
    </row>
    <row r="48" spans="2:11" outlineLevel="1" x14ac:dyDescent="0.2">
      <c r="B48" s="589" t="s">
        <v>964</v>
      </c>
      <c r="C48" s="589" t="s">
        <v>965</v>
      </c>
      <c r="D48" s="589" t="s">
        <v>891</v>
      </c>
      <c r="E48" s="589">
        <v>116</v>
      </c>
      <c r="F48" s="589">
        <v>116</v>
      </c>
      <c r="G48" s="590">
        <v>12528</v>
      </c>
      <c r="H48" s="589">
        <v>0</v>
      </c>
      <c r="I48" s="589">
        <v>0</v>
      </c>
      <c r="J48" s="671">
        <f t="shared" si="0"/>
        <v>0</v>
      </c>
      <c r="K48" s="672">
        <f t="shared" si="1"/>
        <v>0</v>
      </c>
    </row>
    <row r="49" spans="2:11" outlineLevel="1" x14ac:dyDescent="0.2">
      <c r="B49" s="589" t="s">
        <v>966</v>
      </c>
      <c r="C49" s="589" t="s">
        <v>967</v>
      </c>
      <c r="D49" s="589" t="s">
        <v>891</v>
      </c>
      <c r="E49" s="589">
        <v>15</v>
      </c>
      <c r="F49" s="589">
        <v>15</v>
      </c>
      <c r="G49" s="589">
        <v>810</v>
      </c>
      <c r="H49" s="589">
        <v>0</v>
      </c>
      <c r="I49" s="589">
        <v>0</v>
      </c>
      <c r="J49" s="671">
        <f t="shared" si="0"/>
        <v>0</v>
      </c>
      <c r="K49" s="672">
        <f t="shared" si="1"/>
        <v>0</v>
      </c>
    </row>
    <row r="50" spans="2:11" outlineLevel="1" x14ac:dyDescent="0.2">
      <c r="B50" s="589" t="s">
        <v>968</v>
      </c>
      <c r="C50" s="589" t="s">
        <v>969</v>
      </c>
      <c r="D50" s="589" t="s">
        <v>891</v>
      </c>
      <c r="E50" s="589">
        <v>4</v>
      </c>
      <c r="F50" s="589">
        <v>4</v>
      </c>
      <c r="G50" s="589">
        <v>75.599999999999994</v>
      </c>
      <c r="H50" s="589">
        <v>0</v>
      </c>
      <c r="I50" s="589">
        <v>0</v>
      </c>
      <c r="J50" s="671">
        <f t="shared" si="0"/>
        <v>0</v>
      </c>
      <c r="K50" s="672">
        <f t="shared" si="1"/>
        <v>0</v>
      </c>
    </row>
    <row r="51" spans="2:11" outlineLevel="1" x14ac:dyDescent="0.2">
      <c r="B51" s="589" t="s">
        <v>970</v>
      </c>
      <c r="C51" s="589" t="s">
        <v>971</v>
      </c>
      <c r="D51" s="589" t="s">
        <v>891</v>
      </c>
      <c r="E51" s="589">
        <v>7</v>
      </c>
      <c r="F51" s="589">
        <v>7</v>
      </c>
      <c r="G51" s="589">
        <v>283.5</v>
      </c>
      <c r="H51" s="589">
        <v>0</v>
      </c>
      <c r="I51" s="589">
        <v>0</v>
      </c>
      <c r="J51" s="671">
        <f t="shared" si="0"/>
        <v>0</v>
      </c>
      <c r="K51" s="672">
        <f t="shared" si="1"/>
        <v>0</v>
      </c>
    </row>
    <row r="52" spans="2:11" outlineLevel="1" x14ac:dyDescent="0.2">
      <c r="B52" s="589" t="s">
        <v>972</v>
      </c>
      <c r="C52" s="589" t="s">
        <v>973</v>
      </c>
      <c r="D52" s="589" t="s">
        <v>891</v>
      </c>
      <c r="E52" s="589">
        <v>7</v>
      </c>
      <c r="F52" s="589">
        <v>7</v>
      </c>
      <c r="G52" s="589">
        <v>283.5</v>
      </c>
      <c r="H52" s="589">
        <v>0</v>
      </c>
      <c r="I52" s="589">
        <v>0</v>
      </c>
      <c r="J52" s="671">
        <f t="shared" si="0"/>
        <v>0</v>
      </c>
      <c r="K52" s="672">
        <f t="shared" si="1"/>
        <v>0</v>
      </c>
    </row>
    <row r="53" spans="2:11" outlineLevel="1" x14ac:dyDescent="0.2">
      <c r="B53" s="589" t="s">
        <v>974</v>
      </c>
      <c r="C53" s="589" t="s">
        <v>975</v>
      </c>
      <c r="D53" s="589" t="s">
        <v>891</v>
      </c>
      <c r="E53" s="589">
        <v>2</v>
      </c>
      <c r="F53" s="589">
        <v>2</v>
      </c>
      <c r="G53" s="589">
        <v>81</v>
      </c>
      <c r="H53" s="589">
        <v>0</v>
      </c>
      <c r="I53" s="589">
        <v>0</v>
      </c>
      <c r="J53" s="671">
        <f t="shared" si="0"/>
        <v>0</v>
      </c>
      <c r="K53" s="672">
        <f t="shared" si="1"/>
        <v>0</v>
      </c>
    </row>
    <row r="54" spans="2:11" outlineLevel="1" x14ac:dyDescent="0.2">
      <c r="B54" s="589" t="s">
        <v>976</v>
      </c>
      <c r="C54" s="589" t="s">
        <v>977</v>
      </c>
      <c r="D54" s="589" t="s">
        <v>891</v>
      </c>
      <c r="E54" s="589">
        <v>1</v>
      </c>
      <c r="F54" s="589">
        <v>1</v>
      </c>
      <c r="G54" s="589">
        <v>32.4</v>
      </c>
      <c r="H54" s="589">
        <v>0</v>
      </c>
      <c r="I54" s="589">
        <v>0</v>
      </c>
      <c r="J54" s="671">
        <f t="shared" si="0"/>
        <v>0</v>
      </c>
      <c r="K54" s="672">
        <f t="shared" si="1"/>
        <v>0</v>
      </c>
    </row>
    <row r="55" spans="2:11" outlineLevel="1" x14ac:dyDescent="0.2">
      <c r="B55" s="589" t="s">
        <v>978</v>
      </c>
      <c r="C55" s="589" t="s">
        <v>979</v>
      </c>
      <c r="D55" s="589" t="s">
        <v>891</v>
      </c>
      <c r="E55" s="589">
        <v>14</v>
      </c>
      <c r="F55" s="589">
        <v>14</v>
      </c>
      <c r="G55" s="589">
        <v>151.19999999999999</v>
      </c>
      <c r="H55" s="589">
        <v>0</v>
      </c>
      <c r="I55" s="589">
        <v>0</v>
      </c>
      <c r="J55" s="671">
        <f t="shared" si="0"/>
        <v>0</v>
      </c>
      <c r="K55" s="672">
        <f t="shared" si="1"/>
        <v>0</v>
      </c>
    </row>
    <row r="56" spans="2:11" outlineLevel="1" x14ac:dyDescent="0.2">
      <c r="B56" s="589" t="s">
        <v>980</v>
      </c>
      <c r="C56" s="589" t="s">
        <v>981</v>
      </c>
      <c r="D56" s="589" t="s">
        <v>891</v>
      </c>
      <c r="E56" s="589">
        <v>1</v>
      </c>
      <c r="F56" s="589">
        <v>1</v>
      </c>
      <c r="G56" s="589">
        <v>18.899999999999999</v>
      </c>
      <c r="H56" s="589">
        <v>0</v>
      </c>
      <c r="I56" s="589">
        <v>0</v>
      </c>
      <c r="J56" s="671">
        <f t="shared" si="0"/>
        <v>0</v>
      </c>
      <c r="K56" s="672">
        <f t="shared" si="1"/>
        <v>0</v>
      </c>
    </row>
    <row r="57" spans="2:11" outlineLevel="1" x14ac:dyDescent="0.2">
      <c r="B57" s="589" t="s">
        <v>982</v>
      </c>
      <c r="C57" s="589" t="s">
        <v>983</v>
      </c>
      <c r="D57" s="589" t="s">
        <v>891</v>
      </c>
      <c r="E57" s="589">
        <v>3</v>
      </c>
      <c r="F57" s="589">
        <v>3</v>
      </c>
      <c r="G57" s="589">
        <v>89.1</v>
      </c>
      <c r="H57" s="589">
        <v>0</v>
      </c>
      <c r="I57" s="589">
        <v>0</v>
      </c>
      <c r="J57" s="671">
        <f t="shared" si="0"/>
        <v>0</v>
      </c>
      <c r="K57" s="672">
        <f t="shared" si="1"/>
        <v>0</v>
      </c>
    </row>
    <row r="58" spans="2:11" outlineLevel="1" x14ac:dyDescent="0.2">
      <c r="B58" s="589" t="s">
        <v>984</v>
      </c>
      <c r="C58" s="589" t="s">
        <v>985</v>
      </c>
      <c r="D58" s="589" t="s">
        <v>891</v>
      </c>
      <c r="E58" s="589">
        <v>10</v>
      </c>
      <c r="F58" s="589">
        <v>0</v>
      </c>
      <c r="G58" s="589">
        <v>0</v>
      </c>
      <c r="H58" s="589">
        <v>10</v>
      </c>
      <c r="I58" s="589">
        <v>189</v>
      </c>
      <c r="J58" s="671">
        <f t="shared" si="0"/>
        <v>18.899999999999999</v>
      </c>
      <c r="K58" s="672">
        <f t="shared" si="1"/>
        <v>69.999999999999986</v>
      </c>
    </row>
    <row r="59" spans="2:11" outlineLevel="1" x14ac:dyDescent="0.2">
      <c r="B59" s="589" t="s">
        <v>986</v>
      </c>
      <c r="C59" s="589" t="s">
        <v>987</v>
      </c>
      <c r="D59" s="589" t="s">
        <v>891</v>
      </c>
      <c r="E59" s="589">
        <v>4</v>
      </c>
      <c r="F59" s="589">
        <v>2</v>
      </c>
      <c r="G59" s="589">
        <v>37.799999999999997</v>
      </c>
      <c r="H59" s="589">
        <v>2</v>
      </c>
      <c r="I59" s="589">
        <v>37.799999999999997</v>
      </c>
      <c r="J59" s="671">
        <f t="shared" si="0"/>
        <v>9.4499999999999993</v>
      </c>
      <c r="K59" s="672">
        <f t="shared" si="1"/>
        <v>34.999999999999993</v>
      </c>
    </row>
    <row r="60" spans="2:11" outlineLevel="1" x14ac:dyDescent="0.2">
      <c r="B60" s="589" t="s">
        <v>988</v>
      </c>
      <c r="C60" s="589" t="s">
        <v>989</v>
      </c>
      <c r="D60" s="589" t="s">
        <v>891</v>
      </c>
      <c r="E60" s="589">
        <v>12</v>
      </c>
      <c r="F60" s="589">
        <v>12</v>
      </c>
      <c r="G60" s="589">
        <v>291.60000000000002</v>
      </c>
      <c r="H60" s="589">
        <v>0</v>
      </c>
      <c r="I60" s="589">
        <v>0</v>
      </c>
      <c r="J60" s="671">
        <f t="shared" si="0"/>
        <v>0</v>
      </c>
      <c r="K60" s="672">
        <f t="shared" si="1"/>
        <v>0</v>
      </c>
    </row>
    <row r="61" spans="2:11" outlineLevel="1" x14ac:dyDescent="0.2">
      <c r="B61" s="589" t="s">
        <v>990</v>
      </c>
      <c r="C61" s="589" t="s">
        <v>991</v>
      </c>
      <c r="D61" s="589" t="s">
        <v>891</v>
      </c>
      <c r="E61" s="589">
        <v>1</v>
      </c>
      <c r="F61" s="589">
        <v>1</v>
      </c>
      <c r="G61" s="589">
        <v>27</v>
      </c>
      <c r="H61" s="589">
        <v>0</v>
      </c>
      <c r="I61" s="589">
        <v>0</v>
      </c>
      <c r="J61" s="671">
        <f t="shared" si="0"/>
        <v>0</v>
      </c>
      <c r="K61" s="672">
        <f t="shared" si="1"/>
        <v>0</v>
      </c>
    </row>
    <row r="62" spans="2:11" outlineLevel="1" x14ac:dyDescent="0.2">
      <c r="B62" s="589" t="s">
        <v>992</v>
      </c>
      <c r="C62" s="589" t="s">
        <v>993</v>
      </c>
      <c r="D62" s="589" t="s">
        <v>891</v>
      </c>
      <c r="E62" s="589">
        <v>343</v>
      </c>
      <c r="F62" s="589">
        <v>343</v>
      </c>
      <c r="G62" s="590">
        <v>9261</v>
      </c>
      <c r="H62" s="589">
        <v>0</v>
      </c>
      <c r="I62" s="589">
        <v>0</v>
      </c>
      <c r="J62" s="671">
        <f t="shared" si="0"/>
        <v>0</v>
      </c>
      <c r="K62" s="672">
        <f t="shared" si="1"/>
        <v>0</v>
      </c>
    </row>
    <row r="63" spans="2:11" outlineLevel="1" x14ac:dyDescent="0.2">
      <c r="B63" s="589" t="s">
        <v>994</v>
      </c>
      <c r="C63" s="589" t="s">
        <v>995</v>
      </c>
      <c r="D63" s="589" t="s">
        <v>891</v>
      </c>
      <c r="E63" s="589">
        <v>143</v>
      </c>
      <c r="F63" s="589">
        <v>143</v>
      </c>
      <c r="G63" s="590">
        <v>3861</v>
      </c>
      <c r="H63" s="589">
        <v>0</v>
      </c>
      <c r="I63" s="589">
        <v>0</v>
      </c>
      <c r="J63" s="671">
        <f t="shared" si="0"/>
        <v>0</v>
      </c>
      <c r="K63" s="672">
        <f t="shared" si="1"/>
        <v>0</v>
      </c>
    </row>
    <row r="64" spans="2:11" outlineLevel="1" x14ac:dyDescent="0.2">
      <c r="B64" s="589" t="s">
        <v>996</v>
      </c>
      <c r="C64" s="589" t="s">
        <v>997</v>
      </c>
      <c r="D64" s="589" t="s">
        <v>891</v>
      </c>
      <c r="E64" s="589">
        <v>81</v>
      </c>
      <c r="F64" s="589">
        <v>81</v>
      </c>
      <c r="G64" s="590">
        <v>1093.5</v>
      </c>
      <c r="H64" s="589">
        <v>0</v>
      </c>
      <c r="I64" s="589">
        <v>0</v>
      </c>
      <c r="J64" s="671">
        <f t="shared" si="0"/>
        <v>0</v>
      </c>
      <c r="K64" s="672">
        <f t="shared" si="1"/>
        <v>0</v>
      </c>
    </row>
    <row r="65" spans="2:11" outlineLevel="1" x14ac:dyDescent="0.2">
      <c r="B65" s="589" t="s">
        <v>998</v>
      </c>
      <c r="C65" s="589" t="s">
        <v>999</v>
      </c>
      <c r="D65" s="589" t="s">
        <v>891</v>
      </c>
      <c r="E65" s="589">
        <v>2</v>
      </c>
      <c r="F65" s="589">
        <v>2</v>
      </c>
      <c r="G65" s="589">
        <v>18.899999999999999</v>
      </c>
      <c r="H65" s="589">
        <v>0</v>
      </c>
      <c r="I65" s="589">
        <v>0</v>
      </c>
      <c r="J65" s="671">
        <f t="shared" si="0"/>
        <v>0</v>
      </c>
      <c r="K65" s="672">
        <f t="shared" si="1"/>
        <v>0</v>
      </c>
    </row>
    <row r="66" spans="2:11" outlineLevel="1" x14ac:dyDescent="0.2">
      <c r="B66" s="589" t="s">
        <v>1000</v>
      </c>
      <c r="C66" s="589" t="s">
        <v>1001</v>
      </c>
      <c r="D66" s="589" t="s">
        <v>891</v>
      </c>
      <c r="E66" s="589">
        <v>8</v>
      </c>
      <c r="F66" s="589">
        <v>8</v>
      </c>
      <c r="G66" s="589">
        <v>194.4</v>
      </c>
      <c r="H66" s="589">
        <v>0</v>
      </c>
      <c r="I66" s="589">
        <v>0</v>
      </c>
      <c r="J66" s="671">
        <f t="shared" si="0"/>
        <v>0</v>
      </c>
      <c r="K66" s="672">
        <f t="shared" si="1"/>
        <v>0</v>
      </c>
    </row>
    <row r="67" spans="2:11" outlineLevel="1" x14ac:dyDescent="0.2">
      <c r="B67" s="589" t="s">
        <v>1002</v>
      </c>
      <c r="C67" s="589" t="s">
        <v>1003</v>
      </c>
      <c r="D67" s="589" t="s">
        <v>891</v>
      </c>
      <c r="E67" s="589">
        <v>403</v>
      </c>
      <c r="F67" s="589">
        <v>403</v>
      </c>
      <c r="G67" s="590">
        <v>17409.599999999999</v>
      </c>
      <c r="H67" s="589">
        <v>0</v>
      </c>
      <c r="I67" s="589">
        <v>0</v>
      </c>
      <c r="J67" s="671">
        <f t="shared" si="0"/>
        <v>0</v>
      </c>
      <c r="K67" s="672">
        <f t="shared" si="1"/>
        <v>0</v>
      </c>
    </row>
    <row r="68" spans="2:11" outlineLevel="1" x14ac:dyDescent="0.2">
      <c r="B68" s="589" t="s">
        <v>1004</v>
      </c>
      <c r="C68" s="589" t="s">
        <v>1005</v>
      </c>
      <c r="D68" s="589" t="s">
        <v>891</v>
      </c>
      <c r="E68" s="589">
        <v>2</v>
      </c>
      <c r="F68" s="589">
        <v>2</v>
      </c>
      <c r="G68" s="589">
        <v>59.4</v>
      </c>
      <c r="H68" s="589">
        <v>0</v>
      </c>
      <c r="I68" s="589">
        <v>0</v>
      </c>
      <c r="J68" s="671">
        <f t="shared" si="0"/>
        <v>0</v>
      </c>
      <c r="K68" s="672">
        <f t="shared" si="1"/>
        <v>0</v>
      </c>
    </row>
    <row r="69" spans="2:11" outlineLevel="1" x14ac:dyDescent="0.2">
      <c r="B69" s="589" t="s">
        <v>1006</v>
      </c>
      <c r="C69" s="589" t="s">
        <v>1007</v>
      </c>
      <c r="D69" s="589" t="s">
        <v>891</v>
      </c>
      <c r="E69" s="589">
        <v>33</v>
      </c>
      <c r="F69" s="589">
        <v>15</v>
      </c>
      <c r="G69" s="589">
        <v>607.5</v>
      </c>
      <c r="H69" s="589">
        <v>18</v>
      </c>
      <c r="I69" s="589">
        <v>729</v>
      </c>
      <c r="J69" s="671">
        <f t="shared" si="0"/>
        <v>22.09090909090909</v>
      </c>
      <c r="K69" s="672">
        <f t="shared" si="1"/>
        <v>81.818181818181813</v>
      </c>
    </row>
    <row r="70" spans="2:11" outlineLevel="1" x14ac:dyDescent="0.2">
      <c r="B70" s="589" t="s">
        <v>1008</v>
      </c>
      <c r="C70" s="589" t="s">
        <v>1009</v>
      </c>
      <c r="D70" s="589" t="s">
        <v>891</v>
      </c>
      <c r="E70" s="589">
        <v>38</v>
      </c>
      <c r="F70" s="589">
        <v>11</v>
      </c>
      <c r="G70" s="589">
        <v>445.5</v>
      </c>
      <c r="H70" s="589">
        <v>27</v>
      </c>
      <c r="I70" s="590">
        <v>1093.5</v>
      </c>
      <c r="J70" s="671">
        <f t="shared" si="0"/>
        <v>28.776315789473685</v>
      </c>
      <c r="K70" s="672">
        <f t="shared" si="1"/>
        <v>106.57894736842105</v>
      </c>
    </row>
    <row r="71" spans="2:11" outlineLevel="1" x14ac:dyDescent="0.2">
      <c r="B71" s="589" t="s">
        <v>1010</v>
      </c>
      <c r="C71" s="589" t="s">
        <v>1011</v>
      </c>
      <c r="D71" s="589" t="s">
        <v>891</v>
      </c>
      <c r="E71" s="589">
        <v>4</v>
      </c>
      <c r="F71" s="589">
        <v>0</v>
      </c>
      <c r="G71" s="589">
        <v>0</v>
      </c>
      <c r="H71" s="589">
        <v>4</v>
      </c>
      <c r="I71" s="589">
        <v>151.19999999999999</v>
      </c>
      <c r="J71" s="671">
        <f t="shared" si="0"/>
        <v>37.799999999999997</v>
      </c>
      <c r="K71" s="672">
        <f t="shared" si="1"/>
        <v>139.99999999999997</v>
      </c>
    </row>
    <row r="72" spans="2:11" outlineLevel="1" x14ac:dyDescent="0.2">
      <c r="B72" s="589" t="s">
        <v>1012</v>
      </c>
      <c r="C72" s="589" t="s">
        <v>1013</v>
      </c>
      <c r="D72" s="589" t="s">
        <v>891</v>
      </c>
      <c r="E72" s="589">
        <v>388</v>
      </c>
      <c r="F72" s="589">
        <v>375</v>
      </c>
      <c r="G72" s="590">
        <v>10125</v>
      </c>
      <c r="H72" s="589">
        <v>13</v>
      </c>
      <c r="I72" s="589">
        <v>351</v>
      </c>
      <c r="J72" s="671">
        <f t="shared" si="0"/>
        <v>0.90463917525773196</v>
      </c>
      <c r="K72" s="672">
        <f t="shared" si="1"/>
        <v>3.3505154639175254</v>
      </c>
    </row>
    <row r="73" spans="2:11" outlineLevel="1" x14ac:dyDescent="0.2">
      <c r="B73" s="589" t="s">
        <v>1014</v>
      </c>
      <c r="C73" s="589" t="s">
        <v>1015</v>
      </c>
      <c r="D73" s="589" t="s">
        <v>891</v>
      </c>
      <c r="E73" s="589">
        <v>4</v>
      </c>
      <c r="F73" s="589">
        <v>0</v>
      </c>
      <c r="G73" s="589">
        <v>0</v>
      </c>
      <c r="H73" s="589">
        <v>4</v>
      </c>
      <c r="I73" s="589">
        <v>162</v>
      </c>
      <c r="J73" s="671">
        <f t="shared" si="0"/>
        <v>40.5</v>
      </c>
      <c r="K73" s="672">
        <f t="shared" si="1"/>
        <v>150</v>
      </c>
    </row>
    <row r="74" spans="2:11" outlineLevel="1" x14ac:dyDescent="0.2">
      <c r="B74" s="589" t="s">
        <v>1016</v>
      </c>
      <c r="C74" s="589" t="s">
        <v>1017</v>
      </c>
      <c r="D74" s="589" t="s">
        <v>891</v>
      </c>
      <c r="E74" s="589">
        <v>52</v>
      </c>
      <c r="F74" s="589">
        <v>0</v>
      </c>
      <c r="G74" s="589">
        <v>0</v>
      </c>
      <c r="H74" s="589">
        <v>52</v>
      </c>
      <c r="I74" s="590">
        <v>4071.6</v>
      </c>
      <c r="J74" s="671">
        <f t="shared" si="0"/>
        <v>78.3</v>
      </c>
      <c r="K74" s="672">
        <f t="shared" si="1"/>
        <v>289.99999999999994</v>
      </c>
    </row>
    <row r="75" spans="2:11" outlineLevel="1" x14ac:dyDescent="0.2">
      <c r="B75" s="589" t="s">
        <v>1018</v>
      </c>
      <c r="C75" s="589" t="s">
        <v>1019</v>
      </c>
      <c r="D75" s="589" t="s">
        <v>891</v>
      </c>
      <c r="E75" s="589">
        <v>42</v>
      </c>
      <c r="F75" s="589">
        <v>0</v>
      </c>
      <c r="G75" s="589">
        <v>0</v>
      </c>
      <c r="H75" s="589">
        <v>42</v>
      </c>
      <c r="I75" s="590">
        <v>4649.3999999999996</v>
      </c>
      <c r="J75" s="671">
        <f t="shared" si="0"/>
        <v>110.69999999999999</v>
      </c>
      <c r="K75" s="672">
        <f t="shared" si="1"/>
        <v>409.99999999999994</v>
      </c>
    </row>
    <row r="76" spans="2:11" outlineLevel="1" x14ac:dyDescent="0.2">
      <c r="B76" s="589" t="s">
        <v>1020</v>
      </c>
      <c r="C76" s="589" t="s">
        <v>1021</v>
      </c>
      <c r="D76" s="589" t="s">
        <v>891</v>
      </c>
      <c r="E76" s="589">
        <v>3</v>
      </c>
      <c r="F76" s="589">
        <v>0</v>
      </c>
      <c r="G76" s="589">
        <v>0</v>
      </c>
      <c r="H76" s="589">
        <v>3</v>
      </c>
      <c r="I76" s="589">
        <v>202.5</v>
      </c>
      <c r="J76" s="671">
        <f t="shared" ref="J76:J139" si="2">I76/E76</f>
        <v>67.5</v>
      </c>
      <c r="K76" s="672">
        <f t="shared" ref="K76:K139" si="3">J76/0.27</f>
        <v>249.99999999999997</v>
      </c>
    </row>
    <row r="77" spans="2:11" outlineLevel="1" x14ac:dyDescent="0.2">
      <c r="B77" s="589" t="s">
        <v>1022</v>
      </c>
      <c r="C77" s="589" t="s">
        <v>1023</v>
      </c>
      <c r="D77" s="589" t="s">
        <v>891</v>
      </c>
      <c r="E77" s="589">
        <v>2</v>
      </c>
      <c r="F77" s="589">
        <v>0</v>
      </c>
      <c r="G77" s="589">
        <v>0</v>
      </c>
      <c r="H77" s="589">
        <v>2</v>
      </c>
      <c r="I77" s="589">
        <v>540</v>
      </c>
      <c r="J77" s="671">
        <f t="shared" si="2"/>
        <v>270</v>
      </c>
      <c r="K77" s="672">
        <f t="shared" si="3"/>
        <v>999.99999999999989</v>
      </c>
    </row>
    <row r="78" spans="2:11" outlineLevel="1" x14ac:dyDescent="0.2">
      <c r="B78" s="589" t="s">
        <v>1024</v>
      </c>
      <c r="C78" s="589" t="s">
        <v>1025</v>
      </c>
      <c r="D78" s="589" t="s">
        <v>891</v>
      </c>
      <c r="E78" s="589">
        <v>11</v>
      </c>
      <c r="F78" s="589">
        <v>11</v>
      </c>
      <c r="G78" s="589">
        <v>742.5</v>
      </c>
      <c r="H78" s="589">
        <v>0</v>
      </c>
      <c r="I78" s="589">
        <v>0</v>
      </c>
      <c r="J78" s="671">
        <f t="shared" si="2"/>
        <v>0</v>
      </c>
      <c r="K78" s="672">
        <f t="shared" si="3"/>
        <v>0</v>
      </c>
    </row>
    <row r="79" spans="2:11" outlineLevel="1" x14ac:dyDescent="0.2">
      <c r="B79" s="589" t="s">
        <v>1026</v>
      </c>
      <c r="C79" s="589" t="s">
        <v>1027</v>
      </c>
      <c r="D79" s="589" t="s">
        <v>891</v>
      </c>
      <c r="E79" s="589">
        <v>10</v>
      </c>
      <c r="F79" s="589">
        <v>0</v>
      </c>
      <c r="G79" s="589">
        <v>0</v>
      </c>
      <c r="H79" s="589">
        <v>10</v>
      </c>
      <c r="I79" s="589">
        <v>810</v>
      </c>
      <c r="J79" s="671">
        <f t="shared" si="2"/>
        <v>81</v>
      </c>
      <c r="K79" s="672">
        <f t="shared" si="3"/>
        <v>300</v>
      </c>
    </row>
    <row r="80" spans="2:11" outlineLevel="1" x14ac:dyDescent="0.2">
      <c r="B80" s="589" t="s">
        <v>1028</v>
      </c>
      <c r="C80" s="589" t="s">
        <v>1029</v>
      </c>
      <c r="D80" s="589" t="s">
        <v>891</v>
      </c>
      <c r="E80" s="589">
        <v>93</v>
      </c>
      <c r="F80" s="589">
        <v>0</v>
      </c>
      <c r="G80" s="589">
        <v>0</v>
      </c>
      <c r="H80" s="589">
        <v>93</v>
      </c>
      <c r="I80" s="590">
        <v>12555</v>
      </c>
      <c r="J80" s="671">
        <f t="shared" si="2"/>
        <v>135</v>
      </c>
      <c r="K80" s="672">
        <f t="shared" si="3"/>
        <v>499.99999999999994</v>
      </c>
    </row>
    <row r="81" spans="2:11" outlineLevel="1" x14ac:dyDescent="0.2">
      <c r="B81" s="589" t="s">
        <v>1030</v>
      </c>
      <c r="C81" s="589" t="s">
        <v>1031</v>
      </c>
      <c r="D81" s="589" t="s">
        <v>891</v>
      </c>
      <c r="E81" s="589">
        <v>3</v>
      </c>
      <c r="F81" s="589">
        <v>0</v>
      </c>
      <c r="G81" s="589">
        <v>0</v>
      </c>
      <c r="H81" s="589">
        <v>3</v>
      </c>
      <c r="I81" s="589">
        <v>168</v>
      </c>
      <c r="J81" s="671">
        <f t="shared" si="2"/>
        <v>56</v>
      </c>
      <c r="K81" s="672">
        <f t="shared" si="3"/>
        <v>207.40740740740739</v>
      </c>
    </row>
    <row r="82" spans="2:11" outlineLevel="1" x14ac:dyDescent="0.2">
      <c r="B82" s="589" t="s">
        <v>1032</v>
      </c>
      <c r="C82" s="589" t="s">
        <v>1033</v>
      </c>
      <c r="D82" s="589" t="s">
        <v>891</v>
      </c>
      <c r="E82" s="589">
        <v>1</v>
      </c>
      <c r="F82" s="589">
        <v>0</v>
      </c>
      <c r="G82" s="589">
        <v>0</v>
      </c>
      <c r="H82" s="589">
        <v>1</v>
      </c>
      <c r="I82" s="589">
        <v>84</v>
      </c>
      <c r="J82" s="671">
        <f t="shared" si="2"/>
        <v>84</v>
      </c>
      <c r="K82" s="672">
        <f t="shared" si="3"/>
        <v>311.11111111111109</v>
      </c>
    </row>
    <row r="83" spans="2:11" outlineLevel="1" x14ac:dyDescent="0.2">
      <c r="B83" s="589" t="s">
        <v>1034</v>
      </c>
      <c r="C83" s="589" t="s">
        <v>1035</v>
      </c>
      <c r="D83" s="589" t="s">
        <v>891</v>
      </c>
      <c r="E83" s="589">
        <v>5</v>
      </c>
      <c r="F83" s="589">
        <v>0</v>
      </c>
      <c r="G83" s="589">
        <v>0</v>
      </c>
      <c r="H83" s="589">
        <v>5</v>
      </c>
      <c r="I83" s="589">
        <v>904.5</v>
      </c>
      <c r="J83" s="671">
        <f t="shared" si="2"/>
        <v>180.9</v>
      </c>
      <c r="K83" s="672">
        <f t="shared" si="3"/>
        <v>670</v>
      </c>
    </row>
    <row r="84" spans="2:11" outlineLevel="1" x14ac:dyDescent="0.2">
      <c r="B84" s="589" t="s">
        <v>1036</v>
      </c>
      <c r="C84" s="589" t="s">
        <v>1037</v>
      </c>
      <c r="D84" s="589" t="s">
        <v>891</v>
      </c>
      <c r="E84" s="589">
        <v>5</v>
      </c>
      <c r="F84" s="589">
        <v>0</v>
      </c>
      <c r="G84" s="589">
        <v>0</v>
      </c>
      <c r="H84" s="589">
        <v>5</v>
      </c>
      <c r="I84" s="590">
        <v>1120.5</v>
      </c>
      <c r="J84" s="671">
        <f t="shared" si="2"/>
        <v>224.1</v>
      </c>
      <c r="K84" s="672">
        <f t="shared" si="3"/>
        <v>829.99999999999989</v>
      </c>
    </row>
    <row r="85" spans="2:11" outlineLevel="1" x14ac:dyDescent="0.2">
      <c r="B85" s="589" t="s">
        <v>1038</v>
      </c>
      <c r="C85" s="589" t="s">
        <v>1039</v>
      </c>
      <c r="D85" s="589" t="s">
        <v>891</v>
      </c>
      <c r="E85" s="589">
        <v>75</v>
      </c>
      <c r="F85" s="589">
        <v>0</v>
      </c>
      <c r="G85" s="589">
        <v>0</v>
      </c>
      <c r="H85" s="589">
        <v>75</v>
      </c>
      <c r="I85" s="590">
        <v>5062.5</v>
      </c>
      <c r="J85" s="671">
        <f t="shared" si="2"/>
        <v>67.5</v>
      </c>
      <c r="K85" s="672">
        <f t="shared" si="3"/>
        <v>249.99999999999997</v>
      </c>
    </row>
    <row r="86" spans="2:11" outlineLevel="1" x14ac:dyDescent="0.2">
      <c r="B86" s="589" t="s">
        <v>1040</v>
      </c>
      <c r="C86" s="589" t="s">
        <v>1041</v>
      </c>
      <c r="D86" s="589" t="s">
        <v>891</v>
      </c>
      <c r="E86" s="589">
        <v>12</v>
      </c>
      <c r="F86" s="589">
        <v>0</v>
      </c>
      <c r="G86" s="589">
        <v>0</v>
      </c>
      <c r="H86" s="589">
        <v>12</v>
      </c>
      <c r="I86" s="590">
        <v>1393.2</v>
      </c>
      <c r="J86" s="671">
        <f t="shared" si="2"/>
        <v>116.10000000000001</v>
      </c>
      <c r="K86" s="672">
        <f t="shared" si="3"/>
        <v>430</v>
      </c>
    </row>
    <row r="87" spans="2:11" outlineLevel="1" x14ac:dyDescent="0.2">
      <c r="B87" s="589" t="s">
        <v>1042</v>
      </c>
      <c r="C87" s="589" t="s">
        <v>1043</v>
      </c>
      <c r="D87" s="589" t="s">
        <v>891</v>
      </c>
      <c r="E87" s="589">
        <v>58</v>
      </c>
      <c r="F87" s="589">
        <v>49</v>
      </c>
      <c r="G87" s="590">
        <v>8070.3</v>
      </c>
      <c r="H87" s="589">
        <v>9</v>
      </c>
      <c r="I87" s="590">
        <v>1482.3</v>
      </c>
      <c r="J87" s="671">
        <f t="shared" si="2"/>
        <v>25.556896551724137</v>
      </c>
      <c r="K87" s="672">
        <f t="shared" si="3"/>
        <v>94.655172413793096</v>
      </c>
    </row>
    <row r="88" spans="2:11" outlineLevel="1" x14ac:dyDescent="0.2">
      <c r="B88" s="589" t="s">
        <v>1044</v>
      </c>
      <c r="C88" s="589" t="s">
        <v>1045</v>
      </c>
      <c r="D88" s="589" t="s">
        <v>891</v>
      </c>
      <c r="E88" s="589">
        <v>30</v>
      </c>
      <c r="F88" s="589">
        <v>30</v>
      </c>
      <c r="G88" s="590">
        <v>2835</v>
      </c>
      <c r="H88" s="589">
        <v>0</v>
      </c>
      <c r="I88" s="589">
        <v>0</v>
      </c>
      <c r="J88" s="671">
        <f t="shared" si="2"/>
        <v>0</v>
      </c>
      <c r="K88" s="672">
        <f t="shared" si="3"/>
        <v>0</v>
      </c>
    </row>
    <row r="89" spans="2:11" outlineLevel="1" x14ac:dyDescent="0.2">
      <c r="B89" s="589" t="s">
        <v>1046</v>
      </c>
      <c r="C89" s="589" t="s">
        <v>1047</v>
      </c>
      <c r="D89" s="589" t="s">
        <v>891</v>
      </c>
      <c r="E89" s="589">
        <v>57</v>
      </c>
      <c r="F89" s="589">
        <v>0</v>
      </c>
      <c r="G89" s="589">
        <v>0</v>
      </c>
      <c r="H89" s="589">
        <v>57</v>
      </c>
      <c r="I89" s="590">
        <v>13269.6</v>
      </c>
      <c r="J89" s="671">
        <f t="shared" si="2"/>
        <v>232.8</v>
      </c>
      <c r="K89" s="672">
        <f t="shared" si="3"/>
        <v>862.22222222222217</v>
      </c>
    </row>
    <row r="90" spans="2:11" outlineLevel="1" x14ac:dyDescent="0.2">
      <c r="B90" s="589" t="s">
        <v>1048</v>
      </c>
      <c r="C90" s="589" t="s">
        <v>1049</v>
      </c>
      <c r="D90" s="589" t="s">
        <v>891</v>
      </c>
      <c r="E90" s="589">
        <v>31</v>
      </c>
      <c r="F90" s="589">
        <v>0</v>
      </c>
      <c r="G90" s="589">
        <v>0</v>
      </c>
      <c r="H90" s="589">
        <v>31</v>
      </c>
      <c r="I90" s="590">
        <v>4268.7</v>
      </c>
      <c r="J90" s="671">
        <f t="shared" si="2"/>
        <v>137.69999999999999</v>
      </c>
      <c r="K90" s="672">
        <f t="shared" si="3"/>
        <v>509.99999999999994</v>
      </c>
    </row>
    <row r="91" spans="2:11" outlineLevel="1" x14ac:dyDescent="0.2">
      <c r="B91" s="589" t="s">
        <v>1050</v>
      </c>
      <c r="C91" s="589" t="s">
        <v>1051</v>
      </c>
      <c r="D91" s="589" t="s">
        <v>891</v>
      </c>
      <c r="E91" s="589">
        <v>3</v>
      </c>
      <c r="F91" s="589">
        <v>0</v>
      </c>
      <c r="G91" s="589">
        <v>0</v>
      </c>
      <c r="H91" s="589">
        <v>3</v>
      </c>
      <c r="I91" s="589">
        <v>623.70000000000005</v>
      </c>
      <c r="J91" s="671">
        <f t="shared" si="2"/>
        <v>207.9</v>
      </c>
      <c r="K91" s="672">
        <f t="shared" si="3"/>
        <v>770</v>
      </c>
    </row>
    <row r="92" spans="2:11" outlineLevel="1" x14ac:dyDescent="0.2">
      <c r="B92" s="589" t="s">
        <v>761</v>
      </c>
      <c r="C92" s="589" t="s">
        <v>1052</v>
      </c>
      <c r="D92" s="589" t="s">
        <v>891</v>
      </c>
      <c r="E92" s="589">
        <v>66</v>
      </c>
      <c r="F92" s="589">
        <v>0</v>
      </c>
      <c r="G92" s="589">
        <v>0</v>
      </c>
      <c r="H92" s="589">
        <v>66</v>
      </c>
      <c r="I92" s="596">
        <v>13721.4</v>
      </c>
      <c r="J92" s="671">
        <f t="shared" si="2"/>
        <v>207.9</v>
      </c>
      <c r="K92" s="672">
        <f t="shared" si="3"/>
        <v>770</v>
      </c>
    </row>
    <row r="93" spans="2:11" outlineLevel="1" x14ac:dyDescent="0.2">
      <c r="B93" s="589" t="s">
        <v>1053</v>
      </c>
      <c r="C93" s="589" t="s">
        <v>1054</v>
      </c>
      <c r="D93" s="589" t="s">
        <v>891</v>
      </c>
      <c r="E93" s="589">
        <v>11</v>
      </c>
      <c r="F93" s="589">
        <v>0</v>
      </c>
      <c r="G93" s="589">
        <v>0</v>
      </c>
      <c r="H93" s="589">
        <v>11</v>
      </c>
      <c r="I93" s="590">
        <v>1841.4</v>
      </c>
      <c r="J93" s="671">
        <f t="shared" si="2"/>
        <v>167.4</v>
      </c>
      <c r="K93" s="672">
        <f t="shared" si="3"/>
        <v>620</v>
      </c>
    </row>
    <row r="94" spans="2:11" outlineLevel="1" x14ac:dyDescent="0.2">
      <c r="B94" s="589" t="s">
        <v>1055</v>
      </c>
      <c r="C94" s="589" t="s">
        <v>1056</v>
      </c>
      <c r="D94" s="589" t="s">
        <v>891</v>
      </c>
      <c r="E94" s="589">
        <v>5</v>
      </c>
      <c r="F94" s="589">
        <v>0</v>
      </c>
      <c r="G94" s="589">
        <v>0</v>
      </c>
      <c r="H94" s="589">
        <v>5</v>
      </c>
      <c r="I94" s="590">
        <v>1579.5</v>
      </c>
      <c r="J94" s="671">
        <f t="shared" si="2"/>
        <v>315.89999999999998</v>
      </c>
      <c r="K94" s="672">
        <f t="shared" si="3"/>
        <v>1169.9999999999998</v>
      </c>
    </row>
    <row r="95" spans="2:11" outlineLevel="1" x14ac:dyDescent="0.2">
      <c r="B95" s="589" t="s">
        <v>1057</v>
      </c>
      <c r="C95" s="589" t="s">
        <v>1058</v>
      </c>
      <c r="D95" s="589" t="s">
        <v>891</v>
      </c>
      <c r="E95" s="589">
        <v>326</v>
      </c>
      <c r="F95" s="589">
        <v>0</v>
      </c>
      <c r="G95" s="589">
        <v>0</v>
      </c>
      <c r="H95" s="589">
        <v>326</v>
      </c>
      <c r="I95" s="590">
        <v>50175.09</v>
      </c>
      <c r="J95" s="671">
        <f t="shared" si="2"/>
        <v>153.9113190184049</v>
      </c>
      <c r="K95" s="672">
        <f t="shared" si="3"/>
        <v>570.04192229038847</v>
      </c>
    </row>
    <row r="96" spans="2:11" outlineLevel="1" x14ac:dyDescent="0.2">
      <c r="B96" s="589" t="s">
        <v>1059</v>
      </c>
      <c r="C96" s="589" t="s">
        <v>1060</v>
      </c>
      <c r="D96" s="589" t="s">
        <v>891</v>
      </c>
      <c r="E96" s="589">
        <v>1</v>
      </c>
      <c r="F96" s="589">
        <v>0</v>
      </c>
      <c r="G96" s="589">
        <v>0</v>
      </c>
      <c r="H96" s="589">
        <v>1</v>
      </c>
      <c r="I96" s="589">
        <v>27</v>
      </c>
      <c r="J96" s="671">
        <f t="shared" si="2"/>
        <v>27</v>
      </c>
      <c r="K96" s="672">
        <f t="shared" si="3"/>
        <v>100</v>
      </c>
    </row>
    <row r="97" spans="2:11" outlineLevel="1" x14ac:dyDescent="0.2">
      <c r="B97" s="589" t="s">
        <v>1061</v>
      </c>
      <c r="C97" s="589" t="s">
        <v>1062</v>
      </c>
      <c r="D97" s="589" t="s">
        <v>891</v>
      </c>
      <c r="E97" s="589">
        <v>22</v>
      </c>
      <c r="F97" s="589">
        <v>0</v>
      </c>
      <c r="G97" s="589">
        <v>0</v>
      </c>
      <c r="H97" s="589">
        <v>22</v>
      </c>
      <c r="I97" s="590">
        <v>2970</v>
      </c>
      <c r="J97" s="671">
        <f t="shared" si="2"/>
        <v>135</v>
      </c>
      <c r="K97" s="672">
        <f t="shared" si="3"/>
        <v>499.99999999999994</v>
      </c>
    </row>
    <row r="98" spans="2:11" outlineLevel="1" x14ac:dyDescent="0.2">
      <c r="B98" s="589" t="s">
        <v>1063</v>
      </c>
      <c r="C98" s="589" t="s">
        <v>1064</v>
      </c>
      <c r="D98" s="589" t="s">
        <v>1065</v>
      </c>
      <c r="E98" s="589">
        <v>22</v>
      </c>
      <c r="F98" s="589">
        <v>22</v>
      </c>
      <c r="G98" s="590">
        <v>7983.36</v>
      </c>
      <c r="H98" s="589">
        <v>0</v>
      </c>
      <c r="I98" s="589">
        <v>0</v>
      </c>
      <c r="J98" s="671">
        <f t="shared" si="2"/>
        <v>0</v>
      </c>
      <c r="K98" s="672">
        <f t="shared" si="3"/>
        <v>0</v>
      </c>
    </row>
    <row r="99" spans="2:11" outlineLevel="1" x14ac:dyDescent="0.2">
      <c r="B99" s="589" t="s">
        <v>1066</v>
      </c>
      <c r="C99" s="589" t="s">
        <v>1067</v>
      </c>
      <c r="D99" s="589" t="s">
        <v>1065</v>
      </c>
      <c r="E99" s="589">
        <v>2</v>
      </c>
      <c r="F99" s="589">
        <v>2</v>
      </c>
      <c r="G99" s="589">
        <v>243</v>
      </c>
      <c r="H99" s="589">
        <v>0</v>
      </c>
      <c r="I99" s="589">
        <v>0</v>
      </c>
      <c r="J99" s="671">
        <f t="shared" si="2"/>
        <v>0</v>
      </c>
      <c r="K99" s="672">
        <f t="shared" si="3"/>
        <v>0</v>
      </c>
    </row>
    <row r="100" spans="2:11" outlineLevel="1" x14ac:dyDescent="0.2">
      <c r="B100" s="589" t="s">
        <v>1068</v>
      </c>
      <c r="C100" s="589" t="s">
        <v>1069</v>
      </c>
      <c r="D100" s="589" t="s">
        <v>1065</v>
      </c>
      <c r="E100" s="589">
        <v>3</v>
      </c>
      <c r="F100" s="589">
        <v>0</v>
      </c>
      <c r="G100" s="589">
        <v>0</v>
      </c>
      <c r="H100" s="589">
        <v>3</v>
      </c>
      <c r="I100" s="589">
        <v>81</v>
      </c>
      <c r="J100" s="671">
        <f t="shared" si="2"/>
        <v>27</v>
      </c>
      <c r="K100" s="672">
        <f t="shared" si="3"/>
        <v>100</v>
      </c>
    </row>
    <row r="101" spans="2:11" outlineLevel="1" x14ac:dyDescent="0.2">
      <c r="B101" s="589" t="s">
        <v>1070</v>
      </c>
      <c r="C101" s="589" t="s">
        <v>1071</v>
      </c>
      <c r="D101" s="589" t="s">
        <v>1065</v>
      </c>
      <c r="E101" s="589">
        <v>1</v>
      </c>
      <c r="F101" s="589">
        <v>0</v>
      </c>
      <c r="G101" s="589">
        <v>0</v>
      </c>
      <c r="H101" s="589">
        <v>1</v>
      </c>
      <c r="I101" s="589">
        <v>40.5</v>
      </c>
      <c r="J101" s="671">
        <f t="shared" si="2"/>
        <v>40.5</v>
      </c>
      <c r="K101" s="672">
        <f t="shared" si="3"/>
        <v>150</v>
      </c>
    </row>
    <row r="102" spans="2:11" outlineLevel="1" x14ac:dyDescent="0.2">
      <c r="B102" s="589" t="s">
        <v>1072</v>
      </c>
      <c r="C102" s="589" t="s">
        <v>1073</v>
      </c>
      <c r="D102" s="589" t="s">
        <v>1065</v>
      </c>
      <c r="E102" s="589">
        <v>10</v>
      </c>
      <c r="F102" s="589">
        <v>0</v>
      </c>
      <c r="G102" s="589">
        <v>0</v>
      </c>
      <c r="H102" s="589">
        <v>10</v>
      </c>
      <c r="I102" s="590">
        <v>1350</v>
      </c>
      <c r="J102" s="671">
        <f t="shared" si="2"/>
        <v>135</v>
      </c>
      <c r="K102" s="672">
        <f t="shared" si="3"/>
        <v>499.99999999999994</v>
      </c>
    </row>
    <row r="103" spans="2:11" outlineLevel="1" x14ac:dyDescent="0.2">
      <c r="B103" s="589" t="s">
        <v>1074</v>
      </c>
      <c r="C103" s="589" t="s">
        <v>1075</v>
      </c>
      <c r="D103" s="589" t="s">
        <v>1065</v>
      </c>
      <c r="E103" s="589">
        <v>4</v>
      </c>
      <c r="F103" s="589">
        <v>4</v>
      </c>
      <c r="G103" s="589">
        <v>75.599999999999994</v>
      </c>
      <c r="H103" s="589">
        <v>0</v>
      </c>
      <c r="I103" s="589">
        <v>0</v>
      </c>
      <c r="J103" s="671">
        <f t="shared" si="2"/>
        <v>0</v>
      </c>
      <c r="K103" s="672">
        <f t="shared" si="3"/>
        <v>0</v>
      </c>
    </row>
    <row r="104" spans="2:11" outlineLevel="1" x14ac:dyDescent="0.2">
      <c r="B104" s="589" t="s">
        <v>1076</v>
      </c>
      <c r="C104" s="589" t="s">
        <v>1077</v>
      </c>
      <c r="D104" s="589" t="s">
        <v>1065</v>
      </c>
      <c r="E104" s="589">
        <v>19</v>
      </c>
      <c r="F104" s="589">
        <v>0</v>
      </c>
      <c r="G104" s="589">
        <v>0</v>
      </c>
      <c r="H104" s="589">
        <v>19</v>
      </c>
      <c r="I104" s="590">
        <v>1282.5</v>
      </c>
      <c r="J104" s="671">
        <f t="shared" si="2"/>
        <v>67.5</v>
      </c>
      <c r="K104" s="672">
        <f t="shared" si="3"/>
        <v>249.99999999999997</v>
      </c>
    </row>
    <row r="105" spans="2:11" outlineLevel="1" x14ac:dyDescent="0.2">
      <c r="B105" s="589" t="s">
        <v>1078</v>
      </c>
      <c r="C105" s="589" t="s">
        <v>1079</v>
      </c>
      <c r="D105" s="589" t="s">
        <v>1065</v>
      </c>
      <c r="E105" s="589">
        <v>1</v>
      </c>
      <c r="F105" s="589">
        <v>1</v>
      </c>
      <c r="G105" s="589">
        <v>27</v>
      </c>
      <c r="H105" s="589">
        <v>0</v>
      </c>
      <c r="I105" s="589">
        <v>0</v>
      </c>
      <c r="J105" s="671">
        <f t="shared" si="2"/>
        <v>0</v>
      </c>
      <c r="K105" s="672">
        <f t="shared" si="3"/>
        <v>0</v>
      </c>
    </row>
    <row r="106" spans="2:11" outlineLevel="1" x14ac:dyDescent="0.2">
      <c r="B106" s="589" t="s">
        <v>1080</v>
      </c>
      <c r="C106" s="589" t="s">
        <v>1081</v>
      </c>
      <c r="D106" s="589" t="s">
        <v>1065</v>
      </c>
      <c r="E106" s="589">
        <v>1</v>
      </c>
      <c r="F106" s="589">
        <v>0</v>
      </c>
      <c r="G106" s="589">
        <v>0</v>
      </c>
      <c r="H106" s="589">
        <v>1</v>
      </c>
      <c r="I106" s="589">
        <v>5.4</v>
      </c>
      <c r="J106" s="671">
        <f t="shared" si="2"/>
        <v>5.4</v>
      </c>
      <c r="K106" s="672">
        <f t="shared" si="3"/>
        <v>20</v>
      </c>
    </row>
    <row r="107" spans="2:11" outlineLevel="1" x14ac:dyDescent="0.2">
      <c r="B107" s="589" t="s">
        <v>1082</v>
      </c>
      <c r="C107" s="589" t="s">
        <v>1083</v>
      </c>
      <c r="D107" s="589" t="s">
        <v>1065</v>
      </c>
      <c r="E107" s="589">
        <v>1</v>
      </c>
      <c r="F107" s="589">
        <v>0</v>
      </c>
      <c r="G107" s="589">
        <v>0</v>
      </c>
      <c r="H107" s="589">
        <v>1</v>
      </c>
      <c r="I107" s="589">
        <v>5.4</v>
      </c>
      <c r="J107" s="671">
        <f t="shared" si="2"/>
        <v>5.4</v>
      </c>
      <c r="K107" s="672">
        <f t="shared" si="3"/>
        <v>20</v>
      </c>
    </row>
    <row r="108" spans="2:11" outlineLevel="1" x14ac:dyDescent="0.2">
      <c r="B108" s="589" t="s">
        <v>1084</v>
      </c>
      <c r="C108" s="589" t="s">
        <v>1085</v>
      </c>
      <c r="D108" s="589" t="s">
        <v>1065</v>
      </c>
      <c r="E108" s="589">
        <v>5</v>
      </c>
      <c r="F108" s="589">
        <v>0</v>
      </c>
      <c r="G108" s="589">
        <v>0</v>
      </c>
      <c r="H108" s="589">
        <v>5</v>
      </c>
      <c r="I108" s="589">
        <v>513</v>
      </c>
      <c r="J108" s="671">
        <f t="shared" si="2"/>
        <v>102.6</v>
      </c>
      <c r="K108" s="672">
        <f t="shared" si="3"/>
        <v>379.99999999999994</v>
      </c>
    </row>
    <row r="109" spans="2:11" outlineLevel="1" x14ac:dyDescent="0.2">
      <c r="B109" s="589" t="s">
        <v>1086</v>
      </c>
      <c r="C109" s="589" t="s">
        <v>1087</v>
      </c>
      <c r="D109" s="589" t="s">
        <v>1065</v>
      </c>
      <c r="E109" s="589">
        <v>7</v>
      </c>
      <c r="F109" s="589">
        <v>0</v>
      </c>
      <c r="G109" s="589">
        <v>0</v>
      </c>
      <c r="H109" s="589">
        <v>7</v>
      </c>
      <c r="I109" s="590">
        <v>2901.15</v>
      </c>
      <c r="J109" s="671">
        <f t="shared" si="2"/>
        <v>414.45</v>
      </c>
      <c r="K109" s="672">
        <f t="shared" si="3"/>
        <v>1534.9999999999998</v>
      </c>
    </row>
    <row r="110" spans="2:11" outlineLevel="1" x14ac:dyDescent="0.2">
      <c r="B110" s="589" t="s">
        <v>1088</v>
      </c>
      <c r="C110" s="589" t="s">
        <v>1089</v>
      </c>
      <c r="D110" s="589" t="s">
        <v>1065</v>
      </c>
      <c r="E110" s="589">
        <v>1</v>
      </c>
      <c r="F110" s="589">
        <v>1</v>
      </c>
      <c r="G110" s="589">
        <v>81</v>
      </c>
      <c r="H110" s="589">
        <v>0</v>
      </c>
      <c r="I110" s="589">
        <v>0</v>
      </c>
      <c r="J110" s="671">
        <f t="shared" si="2"/>
        <v>0</v>
      </c>
      <c r="K110" s="672">
        <f t="shared" si="3"/>
        <v>0</v>
      </c>
    </row>
    <row r="111" spans="2:11" outlineLevel="1" x14ac:dyDescent="0.2">
      <c r="B111" s="589" t="s">
        <v>1090</v>
      </c>
      <c r="C111" s="589" t="s">
        <v>1091</v>
      </c>
      <c r="D111" s="589" t="s">
        <v>1065</v>
      </c>
      <c r="E111" s="589">
        <v>3</v>
      </c>
      <c r="F111" s="589">
        <v>0</v>
      </c>
      <c r="G111" s="589">
        <v>0</v>
      </c>
      <c r="H111" s="589">
        <v>3</v>
      </c>
      <c r="I111" s="589">
        <v>56.7</v>
      </c>
      <c r="J111" s="671">
        <f t="shared" si="2"/>
        <v>18.900000000000002</v>
      </c>
      <c r="K111" s="672">
        <f t="shared" si="3"/>
        <v>70</v>
      </c>
    </row>
    <row r="112" spans="2:11" outlineLevel="1" x14ac:dyDescent="0.2">
      <c r="B112" s="589" t="s">
        <v>1092</v>
      </c>
      <c r="C112" s="589" t="s">
        <v>1093</v>
      </c>
      <c r="D112" s="589" t="s">
        <v>1065</v>
      </c>
      <c r="E112" s="589">
        <v>116</v>
      </c>
      <c r="F112" s="589">
        <v>116</v>
      </c>
      <c r="G112" s="590">
        <v>9396</v>
      </c>
      <c r="H112" s="589">
        <v>0</v>
      </c>
      <c r="I112" s="589">
        <v>0</v>
      </c>
      <c r="J112" s="671">
        <f t="shared" si="2"/>
        <v>0</v>
      </c>
      <c r="K112" s="672">
        <f t="shared" si="3"/>
        <v>0</v>
      </c>
    </row>
    <row r="113" spans="2:11" outlineLevel="1" x14ac:dyDescent="0.2">
      <c r="B113" s="589" t="s">
        <v>1094</v>
      </c>
      <c r="C113" s="589" t="s">
        <v>1095</v>
      </c>
      <c r="D113" s="589" t="s">
        <v>1065</v>
      </c>
      <c r="E113" s="589">
        <v>26</v>
      </c>
      <c r="F113" s="589">
        <v>0</v>
      </c>
      <c r="G113" s="589">
        <v>0</v>
      </c>
      <c r="H113" s="589">
        <v>26</v>
      </c>
      <c r="I113" s="590">
        <v>3510</v>
      </c>
      <c r="J113" s="671">
        <f t="shared" si="2"/>
        <v>135</v>
      </c>
      <c r="K113" s="672">
        <f t="shared" si="3"/>
        <v>499.99999999999994</v>
      </c>
    </row>
    <row r="114" spans="2:11" outlineLevel="1" x14ac:dyDescent="0.2">
      <c r="B114" s="589" t="s">
        <v>1096</v>
      </c>
      <c r="C114" s="589" t="s">
        <v>1097</v>
      </c>
      <c r="D114" s="589" t="s">
        <v>1065</v>
      </c>
      <c r="E114" s="589">
        <v>10</v>
      </c>
      <c r="F114" s="589">
        <v>10</v>
      </c>
      <c r="G114" s="589">
        <v>189</v>
      </c>
      <c r="H114" s="589">
        <v>0</v>
      </c>
      <c r="I114" s="589">
        <v>0</v>
      </c>
      <c r="J114" s="671">
        <f t="shared" si="2"/>
        <v>0</v>
      </c>
      <c r="K114" s="672">
        <f t="shared" si="3"/>
        <v>0</v>
      </c>
    </row>
    <row r="115" spans="2:11" outlineLevel="1" x14ac:dyDescent="0.2">
      <c r="B115" s="589" t="s">
        <v>1098</v>
      </c>
      <c r="C115" s="589" t="s">
        <v>1099</v>
      </c>
      <c r="D115" s="589" t="s">
        <v>1065</v>
      </c>
      <c r="E115" s="589">
        <v>268</v>
      </c>
      <c r="F115" s="589">
        <v>268</v>
      </c>
      <c r="G115" s="590">
        <v>7236</v>
      </c>
      <c r="H115" s="589">
        <v>0</v>
      </c>
      <c r="I115" s="589">
        <v>0</v>
      </c>
      <c r="J115" s="671">
        <f t="shared" si="2"/>
        <v>0</v>
      </c>
      <c r="K115" s="672">
        <f t="shared" si="3"/>
        <v>0</v>
      </c>
    </row>
    <row r="116" spans="2:11" outlineLevel="1" x14ac:dyDescent="0.2">
      <c r="B116" s="589" t="s">
        <v>1100</v>
      </c>
      <c r="C116" s="589" t="s">
        <v>1101</v>
      </c>
      <c r="D116" s="589" t="s">
        <v>1065</v>
      </c>
      <c r="E116" s="589">
        <v>3</v>
      </c>
      <c r="F116" s="589">
        <v>1</v>
      </c>
      <c r="G116" s="589">
        <v>24.3</v>
      </c>
      <c r="H116" s="589">
        <v>2</v>
      </c>
      <c r="I116" s="589">
        <v>48.6</v>
      </c>
      <c r="J116" s="671">
        <f t="shared" si="2"/>
        <v>16.2</v>
      </c>
      <c r="K116" s="672">
        <f t="shared" si="3"/>
        <v>59.999999999999993</v>
      </c>
    </row>
    <row r="117" spans="2:11" outlineLevel="1" x14ac:dyDescent="0.2">
      <c r="B117" s="589" t="s">
        <v>1102</v>
      </c>
      <c r="C117" s="589" t="s">
        <v>1103</v>
      </c>
      <c r="D117" s="589" t="s">
        <v>1065</v>
      </c>
      <c r="E117" s="589">
        <v>4</v>
      </c>
      <c r="F117" s="589">
        <v>2</v>
      </c>
      <c r="G117" s="589">
        <v>75.599999999999994</v>
      </c>
      <c r="H117" s="589">
        <v>2</v>
      </c>
      <c r="I117" s="589">
        <v>75.599999999999994</v>
      </c>
      <c r="J117" s="671">
        <f t="shared" si="2"/>
        <v>18.899999999999999</v>
      </c>
      <c r="K117" s="672">
        <f t="shared" si="3"/>
        <v>69.999999999999986</v>
      </c>
    </row>
    <row r="118" spans="2:11" outlineLevel="1" x14ac:dyDescent="0.2">
      <c r="B118" s="589" t="s">
        <v>1104</v>
      </c>
      <c r="C118" s="589" t="s">
        <v>1105</v>
      </c>
      <c r="D118" s="589" t="s">
        <v>1065</v>
      </c>
      <c r="E118" s="589">
        <v>2</v>
      </c>
      <c r="F118" s="589">
        <v>2</v>
      </c>
      <c r="G118" s="589">
        <v>75.599999999999994</v>
      </c>
      <c r="H118" s="589">
        <v>0</v>
      </c>
      <c r="I118" s="589">
        <v>0</v>
      </c>
      <c r="J118" s="671">
        <f t="shared" si="2"/>
        <v>0</v>
      </c>
      <c r="K118" s="672">
        <f t="shared" si="3"/>
        <v>0</v>
      </c>
    </row>
    <row r="119" spans="2:11" outlineLevel="1" x14ac:dyDescent="0.2">
      <c r="B119" s="589" t="s">
        <v>1106</v>
      </c>
      <c r="C119" s="589" t="s">
        <v>1107</v>
      </c>
      <c r="D119" s="589" t="s">
        <v>1065</v>
      </c>
      <c r="E119" s="589">
        <v>375</v>
      </c>
      <c r="F119" s="589">
        <v>375</v>
      </c>
      <c r="G119" s="590">
        <v>15187.5</v>
      </c>
      <c r="H119" s="589">
        <v>0</v>
      </c>
      <c r="I119" s="589">
        <v>0</v>
      </c>
      <c r="J119" s="671">
        <f t="shared" si="2"/>
        <v>0</v>
      </c>
      <c r="K119" s="672">
        <f t="shared" si="3"/>
        <v>0</v>
      </c>
    </row>
    <row r="120" spans="2:11" outlineLevel="1" x14ac:dyDescent="0.2">
      <c r="B120" s="589" t="s">
        <v>1108</v>
      </c>
      <c r="C120" s="589" t="s">
        <v>1109</v>
      </c>
      <c r="D120" s="589" t="s">
        <v>1065</v>
      </c>
      <c r="E120" s="589">
        <v>1</v>
      </c>
      <c r="F120" s="589">
        <v>0</v>
      </c>
      <c r="G120" s="589">
        <v>0</v>
      </c>
      <c r="H120" s="589">
        <v>1</v>
      </c>
      <c r="I120" s="589">
        <v>40.5</v>
      </c>
      <c r="J120" s="671">
        <f t="shared" si="2"/>
        <v>40.5</v>
      </c>
      <c r="K120" s="672">
        <f t="shared" si="3"/>
        <v>150</v>
      </c>
    </row>
    <row r="121" spans="2:11" outlineLevel="1" x14ac:dyDescent="0.2">
      <c r="B121" s="589" t="s">
        <v>1110</v>
      </c>
      <c r="C121" s="589" t="s">
        <v>1111</v>
      </c>
      <c r="D121" s="589" t="s">
        <v>1065</v>
      </c>
      <c r="E121" s="589">
        <v>24</v>
      </c>
      <c r="F121" s="589">
        <v>0</v>
      </c>
      <c r="G121" s="589">
        <v>0</v>
      </c>
      <c r="H121" s="589">
        <v>24</v>
      </c>
      <c r="I121" s="590">
        <v>1620</v>
      </c>
      <c r="J121" s="671">
        <f t="shared" si="2"/>
        <v>67.5</v>
      </c>
      <c r="K121" s="672">
        <f t="shared" si="3"/>
        <v>249.99999999999997</v>
      </c>
    </row>
    <row r="122" spans="2:11" outlineLevel="1" x14ac:dyDescent="0.2">
      <c r="B122" s="589" t="s">
        <v>1112</v>
      </c>
      <c r="C122" s="589" t="s">
        <v>1113</v>
      </c>
      <c r="D122" s="589" t="s">
        <v>1065</v>
      </c>
      <c r="E122" s="589">
        <v>20</v>
      </c>
      <c r="F122" s="589">
        <v>20</v>
      </c>
      <c r="G122" s="589">
        <v>810</v>
      </c>
      <c r="H122" s="589">
        <v>0</v>
      </c>
      <c r="I122" s="589">
        <v>0</v>
      </c>
      <c r="J122" s="671">
        <f t="shared" si="2"/>
        <v>0</v>
      </c>
      <c r="K122" s="672">
        <f t="shared" si="3"/>
        <v>0</v>
      </c>
    </row>
    <row r="123" spans="2:11" outlineLevel="1" x14ac:dyDescent="0.2">
      <c r="B123" s="589" t="s">
        <v>1114</v>
      </c>
      <c r="C123" s="589" t="s">
        <v>1115</v>
      </c>
      <c r="D123" s="589" t="s">
        <v>1065</v>
      </c>
      <c r="E123" s="589">
        <v>134</v>
      </c>
      <c r="F123" s="589">
        <v>134</v>
      </c>
      <c r="G123" s="590">
        <v>7236</v>
      </c>
      <c r="H123" s="589">
        <v>0</v>
      </c>
      <c r="I123" s="589">
        <v>0</v>
      </c>
      <c r="J123" s="671">
        <f t="shared" si="2"/>
        <v>0</v>
      </c>
      <c r="K123" s="672">
        <f t="shared" si="3"/>
        <v>0</v>
      </c>
    </row>
    <row r="124" spans="2:11" outlineLevel="1" x14ac:dyDescent="0.2">
      <c r="B124" s="589" t="s">
        <v>1116</v>
      </c>
      <c r="C124" s="589" t="s">
        <v>1117</v>
      </c>
      <c r="D124" s="589" t="s">
        <v>1065</v>
      </c>
      <c r="E124" s="589">
        <v>37</v>
      </c>
      <c r="F124" s="589">
        <v>37</v>
      </c>
      <c r="G124" s="590">
        <v>1998</v>
      </c>
      <c r="H124" s="589">
        <v>0</v>
      </c>
      <c r="I124" s="589">
        <v>0</v>
      </c>
      <c r="J124" s="671">
        <f t="shared" si="2"/>
        <v>0</v>
      </c>
      <c r="K124" s="672">
        <f t="shared" si="3"/>
        <v>0</v>
      </c>
    </row>
    <row r="125" spans="2:11" outlineLevel="1" x14ac:dyDescent="0.2">
      <c r="B125" s="589" t="s">
        <v>1118</v>
      </c>
      <c r="C125" s="589" t="s">
        <v>1119</v>
      </c>
      <c r="D125" s="589" t="s">
        <v>1065</v>
      </c>
      <c r="E125" s="589">
        <v>3</v>
      </c>
      <c r="F125" s="589">
        <v>1</v>
      </c>
      <c r="G125" s="589">
        <v>32.4</v>
      </c>
      <c r="H125" s="589">
        <v>2</v>
      </c>
      <c r="I125" s="589">
        <v>64.8</v>
      </c>
      <c r="J125" s="671">
        <f t="shared" si="2"/>
        <v>21.599999999999998</v>
      </c>
      <c r="K125" s="672">
        <f t="shared" si="3"/>
        <v>79.999999999999986</v>
      </c>
    </row>
    <row r="126" spans="2:11" outlineLevel="1" x14ac:dyDescent="0.2">
      <c r="B126" s="589" t="s">
        <v>1120</v>
      </c>
      <c r="C126" s="589" t="s">
        <v>1121</v>
      </c>
      <c r="D126" s="589" t="s">
        <v>1065</v>
      </c>
      <c r="E126" s="589">
        <v>2</v>
      </c>
      <c r="F126" s="589">
        <v>0</v>
      </c>
      <c r="G126" s="589">
        <v>0</v>
      </c>
      <c r="H126" s="589">
        <v>2</v>
      </c>
      <c r="I126" s="589">
        <v>64.8</v>
      </c>
      <c r="J126" s="671">
        <f t="shared" si="2"/>
        <v>32.4</v>
      </c>
      <c r="K126" s="672">
        <f t="shared" si="3"/>
        <v>119.99999999999999</v>
      </c>
    </row>
    <row r="127" spans="2:11" outlineLevel="1" x14ac:dyDescent="0.2">
      <c r="B127" s="589" t="s">
        <v>1122</v>
      </c>
      <c r="C127" s="589" t="s">
        <v>1123</v>
      </c>
      <c r="D127" s="589" t="s">
        <v>1065</v>
      </c>
      <c r="E127" s="589">
        <v>404</v>
      </c>
      <c r="F127" s="589">
        <v>354</v>
      </c>
      <c r="G127" s="590">
        <v>47790</v>
      </c>
      <c r="H127" s="589">
        <v>50</v>
      </c>
      <c r="I127" s="590">
        <v>6750</v>
      </c>
      <c r="J127" s="671">
        <f t="shared" si="2"/>
        <v>16.707920792079207</v>
      </c>
      <c r="K127" s="672">
        <f t="shared" si="3"/>
        <v>61.881188118811878</v>
      </c>
    </row>
    <row r="128" spans="2:11" outlineLevel="1" x14ac:dyDescent="0.2">
      <c r="B128" s="589" t="s">
        <v>1124</v>
      </c>
      <c r="C128" s="589" t="s">
        <v>1125</v>
      </c>
      <c r="D128" s="589" t="s">
        <v>1065</v>
      </c>
      <c r="E128" s="589">
        <v>191</v>
      </c>
      <c r="F128" s="589">
        <v>0</v>
      </c>
      <c r="G128" s="589">
        <v>0</v>
      </c>
      <c r="H128" s="589">
        <v>191</v>
      </c>
      <c r="I128" s="590">
        <v>24753.599999999999</v>
      </c>
      <c r="J128" s="671">
        <f t="shared" si="2"/>
        <v>129.6</v>
      </c>
      <c r="K128" s="672">
        <f t="shared" si="3"/>
        <v>479.99999999999994</v>
      </c>
    </row>
    <row r="129" spans="2:12" outlineLevel="1" x14ac:dyDescent="0.2">
      <c r="B129" s="589" t="s">
        <v>1126</v>
      </c>
      <c r="C129" s="589" t="s">
        <v>1127</v>
      </c>
      <c r="D129" s="589" t="s">
        <v>1065</v>
      </c>
      <c r="E129" s="589">
        <v>4</v>
      </c>
      <c r="F129" s="589">
        <v>2</v>
      </c>
      <c r="G129" s="589">
        <v>340.2</v>
      </c>
      <c r="H129" s="589">
        <v>2</v>
      </c>
      <c r="I129" s="589">
        <v>340.2</v>
      </c>
      <c r="J129" s="671">
        <f t="shared" si="2"/>
        <v>85.05</v>
      </c>
      <c r="K129" s="672">
        <f t="shared" si="3"/>
        <v>314.99999999999994</v>
      </c>
    </row>
    <row r="130" spans="2:12" outlineLevel="1" x14ac:dyDescent="0.2">
      <c r="B130" s="589" t="s">
        <v>1128</v>
      </c>
      <c r="C130" s="589" t="s">
        <v>1129</v>
      </c>
      <c r="D130" s="589" t="s">
        <v>1065</v>
      </c>
      <c r="E130" s="589">
        <v>1</v>
      </c>
      <c r="F130" s="589">
        <v>0</v>
      </c>
      <c r="G130" s="589">
        <v>0</v>
      </c>
      <c r="H130" s="589">
        <v>1</v>
      </c>
      <c r="I130" s="589">
        <v>810</v>
      </c>
      <c r="J130" s="671">
        <f t="shared" si="2"/>
        <v>810</v>
      </c>
      <c r="K130" s="672">
        <f t="shared" si="3"/>
        <v>3000</v>
      </c>
    </row>
    <row r="131" spans="2:12" outlineLevel="1" x14ac:dyDescent="0.2">
      <c r="B131" s="589" t="s">
        <v>1130</v>
      </c>
      <c r="C131" s="589" t="s">
        <v>1131</v>
      </c>
      <c r="D131" s="589" t="s">
        <v>1065</v>
      </c>
      <c r="E131" s="589">
        <v>60</v>
      </c>
      <c r="F131" s="589">
        <v>0</v>
      </c>
      <c r="G131" s="589">
        <v>0</v>
      </c>
      <c r="H131" s="589">
        <v>60</v>
      </c>
      <c r="I131" s="590">
        <v>53206.2</v>
      </c>
      <c r="J131" s="671">
        <f t="shared" si="2"/>
        <v>886.77</v>
      </c>
      <c r="K131" s="672">
        <f t="shared" si="3"/>
        <v>3284.333333333333</v>
      </c>
    </row>
    <row r="132" spans="2:12" outlineLevel="1" x14ac:dyDescent="0.2">
      <c r="B132" s="589" t="s">
        <v>1132</v>
      </c>
      <c r="C132" s="589" t="s">
        <v>1133</v>
      </c>
      <c r="D132" s="589" t="s">
        <v>1065</v>
      </c>
      <c r="E132" s="589">
        <v>143</v>
      </c>
      <c r="F132" s="589">
        <v>0</v>
      </c>
      <c r="G132" s="589">
        <v>0</v>
      </c>
      <c r="H132" s="589">
        <v>143</v>
      </c>
      <c r="I132" s="590">
        <v>215335.8</v>
      </c>
      <c r="J132" s="671">
        <f t="shared" si="2"/>
        <v>1505.8447552447551</v>
      </c>
      <c r="K132" s="672">
        <f t="shared" si="3"/>
        <v>5577.2027972027963</v>
      </c>
    </row>
    <row r="133" spans="2:12" outlineLevel="1" x14ac:dyDescent="0.2">
      <c r="B133" s="589" t="s">
        <v>1134</v>
      </c>
      <c r="C133" s="589" t="s">
        <v>1135</v>
      </c>
      <c r="D133" s="589" t="s">
        <v>1065</v>
      </c>
      <c r="E133" s="589">
        <v>145</v>
      </c>
      <c r="F133" s="589">
        <v>56</v>
      </c>
      <c r="G133" s="590">
        <v>123530.4</v>
      </c>
      <c r="H133" s="589">
        <v>89</v>
      </c>
      <c r="I133" s="590">
        <v>196460.1</v>
      </c>
      <c r="J133" s="671">
        <f t="shared" si="2"/>
        <v>1354.8972413793103</v>
      </c>
      <c r="K133" s="672">
        <f t="shared" si="3"/>
        <v>5018.1379310344828</v>
      </c>
    </row>
    <row r="134" spans="2:12" outlineLevel="1" x14ac:dyDescent="0.2">
      <c r="B134" s="589" t="s">
        <v>1136</v>
      </c>
      <c r="C134" s="589" t="s">
        <v>1137</v>
      </c>
      <c r="D134" s="589" t="s">
        <v>1065</v>
      </c>
      <c r="E134" s="589">
        <v>341</v>
      </c>
      <c r="F134" s="589">
        <v>0</v>
      </c>
      <c r="G134" s="589">
        <v>0</v>
      </c>
      <c r="H134" s="589">
        <v>341</v>
      </c>
      <c r="I134" s="590">
        <v>66189</v>
      </c>
      <c r="J134" s="671">
        <f t="shared" si="2"/>
        <v>194.10263929618768</v>
      </c>
      <c r="K134" s="672">
        <f t="shared" si="3"/>
        <v>718.89866405995429</v>
      </c>
    </row>
    <row r="135" spans="2:12" outlineLevel="1" x14ac:dyDescent="0.2">
      <c r="B135" s="589" t="s">
        <v>1138</v>
      </c>
      <c r="C135" s="589" t="s">
        <v>1139</v>
      </c>
      <c r="D135" s="589" t="s">
        <v>1065</v>
      </c>
      <c r="E135" s="589">
        <v>195</v>
      </c>
      <c r="F135" s="589">
        <v>0</v>
      </c>
      <c r="G135" s="589">
        <v>0</v>
      </c>
      <c r="H135" s="589">
        <v>195</v>
      </c>
      <c r="I135" s="590">
        <v>22040.400000000001</v>
      </c>
      <c r="J135" s="671">
        <f t="shared" si="2"/>
        <v>113.02769230769232</v>
      </c>
      <c r="K135" s="672">
        <f t="shared" si="3"/>
        <v>418.62108262108262</v>
      </c>
    </row>
    <row r="136" spans="2:12" outlineLevel="1" x14ac:dyDescent="0.2">
      <c r="B136" s="589" t="s">
        <v>1140</v>
      </c>
      <c r="C136" s="589" t="s">
        <v>1141</v>
      </c>
      <c r="D136" s="589" t="s">
        <v>1065</v>
      </c>
      <c r="E136" s="589">
        <v>6</v>
      </c>
      <c r="F136" s="589">
        <v>0</v>
      </c>
      <c r="G136" s="589">
        <v>0</v>
      </c>
      <c r="H136" s="589">
        <v>6</v>
      </c>
      <c r="I136" s="590">
        <v>1636.2</v>
      </c>
      <c r="J136" s="671">
        <f t="shared" si="2"/>
        <v>272.7</v>
      </c>
      <c r="K136" s="672">
        <f t="shared" si="3"/>
        <v>1009.9999999999999</v>
      </c>
    </row>
    <row r="137" spans="2:12" outlineLevel="1" x14ac:dyDescent="0.2">
      <c r="B137" s="589" t="s">
        <v>1142</v>
      </c>
      <c r="C137" s="589" t="s">
        <v>1143</v>
      </c>
      <c r="D137" s="589" t="s">
        <v>1065</v>
      </c>
      <c r="E137" s="589">
        <v>54</v>
      </c>
      <c r="F137" s="589">
        <v>0</v>
      </c>
      <c r="G137" s="589">
        <v>0</v>
      </c>
      <c r="H137" s="589">
        <v>54</v>
      </c>
      <c r="I137" s="590">
        <v>7290</v>
      </c>
      <c r="J137" s="671">
        <f t="shared" si="2"/>
        <v>135</v>
      </c>
      <c r="K137" s="672">
        <f t="shared" si="3"/>
        <v>499.99999999999994</v>
      </c>
    </row>
    <row r="138" spans="2:12" outlineLevel="1" x14ac:dyDescent="0.2">
      <c r="B138" s="589" t="s">
        <v>745</v>
      </c>
      <c r="C138" s="589" t="s">
        <v>1144</v>
      </c>
      <c r="D138" s="589" t="s">
        <v>1065</v>
      </c>
      <c r="E138" s="589">
        <v>12</v>
      </c>
      <c r="F138" s="589">
        <v>0</v>
      </c>
      <c r="G138" s="589">
        <v>0</v>
      </c>
      <c r="H138" s="589">
        <v>12</v>
      </c>
      <c r="I138" s="596">
        <v>10937.7</v>
      </c>
      <c r="J138" s="671">
        <f t="shared" si="2"/>
        <v>911.47500000000002</v>
      </c>
      <c r="K138" s="672">
        <f t="shared" si="3"/>
        <v>3375.833333333333</v>
      </c>
    </row>
    <row r="139" spans="2:12" outlineLevel="1" x14ac:dyDescent="0.2">
      <c r="B139" s="589" t="s">
        <v>1145</v>
      </c>
      <c r="C139" s="589" t="s">
        <v>1146</v>
      </c>
      <c r="D139" s="589" t="s">
        <v>1065</v>
      </c>
      <c r="E139" s="589">
        <v>12</v>
      </c>
      <c r="F139" s="589">
        <v>0</v>
      </c>
      <c r="G139" s="589">
        <v>0</v>
      </c>
      <c r="H139" s="589">
        <v>12</v>
      </c>
      <c r="I139" s="590">
        <v>18046.8</v>
      </c>
      <c r="J139" s="671">
        <f t="shared" si="2"/>
        <v>1503.8999999999999</v>
      </c>
      <c r="K139" s="672">
        <f t="shared" si="3"/>
        <v>5569.9999999999991</v>
      </c>
    </row>
    <row r="140" spans="2:12" outlineLevel="1" x14ac:dyDescent="0.2">
      <c r="B140" s="589" t="s">
        <v>739</v>
      </c>
      <c r="C140" s="589" t="s">
        <v>1147</v>
      </c>
      <c r="D140" s="589" t="s">
        <v>1065</v>
      </c>
      <c r="E140" s="589">
        <v>118</v>
      </c>
      <c r="F140" s="589">
        <v>0</v>
      </c>
      <c r="G140" s="589">
        <v>0</v>
      </c>
      <c r="H140" s="589">
        <v>118</v>
      </c>
      <c r="I140" s="596">
        <v>260296.2</v>
      </c>
      <c r="J140" s="671">
        <f t="shared" ref="J140:J142" si="4">I140/E140</f>
        <v>2205.9</v>
      </c>
      <c r="K140" s="672">
        <f t="shared" ref="K140:K142" si="5">J140/0.27</f>
        <v>8170</v>
      </c>
      <c r="L140" t="s">
        <v>1299</v>
      </c>
    </row>
    <row r="141" spans="2:12" outlineLevel="1" x14ac:dyDescent="0.2">
      <c r="B141" s="589" t="s">
        <v>795</v>
      </c>
      <c r="C141" s="589" t="s">
        <v>1148</v>
      </c>
      <c r="D141" s="589" t="s">
        <v>1065</v>
      </c>
      <c r="E141" s="589">
        <v>73</v>
      </c>
      <c r="F141" s="589">
        <v>0</v>
      </c>
      <c r="G141" s="589">
        <v>0</v>
      </c>
      <c r="H141" s="589">
        <v>73</v>
      </c>
      <c r="I141" s="596">
        <v>9066.6</v>
      </c>
      <c r="J141" s="671">
        <f t="shared" si="4"/>
        <v>124.2</v>
      </c>
      <c r="K141" s="672">
        <f t="shared" si="5"/>
        <v>460</v>
      </c>
    </row>
    <row r="142" spans="2:12" outlineLevel="1" x14ac:dyDescent="0.2">
      <c r="B142" s="589" t="s">
        <v>1149</v>
      </c>
      <c r="C142" s="589" t="s">
        <v>1150</v>
      </c>
      <c r="D142" s="589" t="s">
        <v>1065</v>
      </c>
      <c r="E142" s="589">
        <v>19</v>
      </c>
      <c r="F142" s="589">
        <v>0</v>
      </c>
      <c r="G142" s="589">
        <v>0</v>
      </c>
      <c r="H142" s="589">
        <v>19</v>
      </c>
      <c r="I142" s="590">
        <v>2359.8000000000002</v>
      </c>
      <c r="J142" s="671">
        <f t="shared" si="4"/>
        <v>124.2</v>
      </c>
      <c r="K142" s="672">
        <f t="shared" si="5"/>
        <v>460</v>
      </c>
    </row>
    <row r="143" spans="2:12" hidden="1" x14ac:dyDescent="0.2">
      <c r="B143" s="589" t="s">
        <v>1151</v>
      </c>
      <c r="C143" s="589" t="s">
        <v>1152</v>
      </c>
      <c r="D143" s="589" t="s">
        <v>1065</v>
      </c>
      <c r="E143" s="589">
        <v>45</v>
      </c>
      <c r="F143" s="589">
        <v>0</v>
      </c>
      <c r="G143" s="589">
        <v>0</v>
      </c>
      <c r="H143" s="589">
        <v>45</v>
      </c>
      <c r="I143" s="590">
        <v>5589</v>
      </c>
    </row>
    <row r="144" spans="2:12" x14ac:dyDescent="0.2">
      <c r="B144" s="589" t="s">
        <v>796</v>
      </c>
      <c r="C144" s="589" t="s">
        <v>1153</v>
      </c>
      <c r="D144" s="589" t="s">
        <v>1065</v>
      </c>
      <c r="E144" s="589">
        <v>36</v>
      </c>
      <c r="F144" s="589">
        <v>0</v>
      </c>
      <c r="G144" s="589">
        <v>0</v>
      </c>
      <c r="H144" s="589">
        <v>36</v>
      </c>
      <c r="I144" s="596">
        <v>4471.2</v>
      </c>
      <c r="J144" s="671">
        <f>I144/E144</f>
        <v>124.19999999999999</v>
      </c>
      <c r="K144" s="672">
        <f>J144/0.27</f>
        <v>459.99999999999994</v>
      </c>
    </row>
    <row r="145" spans="2:9" hidden="1" x14ac:dyDescent="0.2">
      <c r="B145" s="589" t="s">
        <v>1154</v>
      </c>
      <c r="C145" s="589" t="s">
        <v>1155</v>
      </c>
      <c r="D145" s="589" t="s">
        <v>1065</v>
      </c>
      <c r="E145" s="589">
        <v>2</v>
      </c>
      <c r="F145" s="589">
        <v>0</v>
      </c>
      <c r="G145" s="589">
        <v>0</v>
      </c>
      <c r="H145" s="589">
        <v>2</v>
      </c>
      <c r="I145" s="589">
        <v>550.79999999999995</v>
      </c>
    </row>
    <row r="146" spans="2:9" hidden="1" x14ac:dyDescent="0.2">
      <c r="B146" s="589" t="s">
        <v>1156</v>
      </c>
      <c r="C146" s="589" t="s">
        <v>1157</v>
      </c>
      <c r="D146" s="589" t="s">
        <v>1065</v>
      </c>
      <c r="E146" s="589">
        <v>7</v>
      </c>
      <c r="F146" s="589">
        <v>0</v>
      </c>
      <c r="G146" s="589">
        <v>0</v>
      </c>
      <c r="H146" s="589">
        <v>7</v>
      </c>
      <c r="I146" s="589">
        <v>723.6</v>
      </c>
    </row>
    <row r="147" spans="2:9" hidden="1" x14ac:dyDescent="0.2">
      <c r="B147" s="589" t="s">
        <v>1158</v>
      </c>
      <c r="C147" s="589" t="s">
        <v>1159</v>
      </c>
      <c r="D147" s="589" t="s">
        <v>1065</v>
      </c>
      <c r="E147" s="589">
        <v>41</v>
      </c>
      <c r="F147" s="589">
        <v>0</v>
      </c>
      <c r="G147" s="589">
        <v>0</v>
      </c>
      <c r="H147" s="589">
        <v>41</v>
      </c>
      <c r="I147" s="590">
        <v>1544.4</v>
      </c>
    </row>
    <row r="148" spans="2:9" hidden="1" x14ac:dyDescent="0.2">
      <c r="B148" s="589" t="s">
        <v>1160</v>
      </c>
      <c r="C148" s="589" t="s">
        <v>1146</v>
      </c>
      <c r="D148" s="589" t="s">
        <v>1065</v>
      </c>
      <c r="E148" s="589">
        <v>1</v>
      </c>
      <c r="F148" s="589">
        <v>0</v>
      </c>
      <c r="G148" s="589">
        <v>0</v>
      </c>
      <c r="H148" s="589">
        <v>1</v>
      </c>
      <c r="I148" s="590">
        <v>1503.9</v>
      </c>
    </row>
    <row r="149" spans="2:9" hidden="1" x14ac:dyDescent="0.2">
      <c r="B149" s="591" t="s">
        <v>84</v>
      </c>
      <c r="C149" s="591"/>
      <c r="D149" s="591"/>
      <c r="E149" s="592">
        <v>8715</v>
      </c>
      <c r="F149" s="592">
        <v>5584</v>
      </c>
      <c r="G149" s="593">
        <v>392498.86</v>
      </c>
      <c r="H149" s="592">
        <v>3131</v>
      </c>
      <c r="I149" s="593">
        <v>1088475.0900000001</v>
      </c>
    </row>
    <row r="151" spans="2:9" x14ac:dyDescent="0.2">
      <c r="B151" s="122" t="s">
        <v>874</v>
      </c>
    </row>
    <row r="152" spans="2:9" x14ac:dyDescent="0.2">
      <c r="B152" s="122" t="s">
        <v>1161</v>
      </c>
    </row>
    <row r="153" spans="2:9" x14ac:dyDescent="0.2">
      <c r="B153" s="122" t="s">
        <v>1162</v>
      </c>
    </row>
    <row r="154" spans="2:9" x14ac:dyDescent="0.2">
      <c r="B154" s="122" t="s">
        <v>1163</v>
      </c>
    </row>
    <row r="155" spans="2:9" x14ac:dyDescent="0.2">
      <c r="B155" s="122" t="s">
        <v>879</v>
      </c>
    </row>
    <row r="156" spans="2:9" x14ac:dyDescent="0.2">
      <c r="B156" s="122" t="s">
        <v>880</v>
      </c>
    </row>
    <row r="157" spans="2:9" x14ac:dyDescent="0.2">
      <c r="B157" s="2"/>
    </row>
    <row r="158" spans="2:9" x14ac:dyDescent="0.2">
      <c r="B158" s="588" t="s">
        <v>1164</v>
      </c>
      <c r="C158" s="588" t="s">
        <v>1165</v>
      </c>
      <c r="D158" s="588" t="s">
        <v>884</v>
      </c>
      <c r="E158" s="588" t="s">
        <v>1166</v>
      </c>
    </row>
    <row r="159" spans="2:9" x14ac:dyDescent="0.2">
      <c r="B159" s="589">
        <v>60785011</v>
      </c>
      <c r="C159" s="589" t="s">
        <v>1167</v>
      </c>
      <c r="D159" s="589">
        <v>1</v>
      </c>
      <c r="E159" s="589">
        <v>882.9</v>
      </c>
    </row>
    <row r="160" spans="2:9" x14ac:dyDescent="0.2">
      <c r="B160" s="589">
        <v>130001647</v>
      </c>
      <c r="C160" s="589" t="s">
        <v>1168</v>
      </c>
      <c r="D160" s="589">
        <v>272</v>
      </c>
      <c r="E160" s="590">
        <v>159030</v>
      </c>
    </row>
    <row r="161" spans="2:5" x14ac:dyDescent="0.2">
      <c r="B161" s="589">
        <v>130786049</v>
      </c>
      <c r="C161" s="589" t="s">
        <v>1169</v>
      </c>
      <c r="D161" s="589">
        <v>71</v>
      </c>
      <c r="E161" s="590">
        <v>18732.599999999999</v>
      </c>
    </row>
    <row r="162" spans="2:5" x14ac:dyDescent="0.2">
      <c r="B162" s="589">
        <v>140000555</v>
      </c>
      <c r="C162" s="589" t="s">
        <v>1170</v>
      </c>
      <c r="D162" s="589">
        <v>2</v>
      </c>
      <c r="E162" s="589">
        <v>357.6</v>
      </c>
    </row>
    <row r="163" spans="2:5" x14ac:dyDescent="0.2">
      <c r="B163" s="589">
        <v>210780581</v>
      </c>
      <c r="C163" s="589" t="s">
        <v>1171</v>
      </c>
      <c r="D163" s="589">
        <v>4</v>
      </c>
      <c r="E163" s="590">
        <v>8823.6</v>
      </c>
    </row>
    <row r="164" spans="2:5" x14ac:dyDescent="0.2">
      <c r="B164" s="589">
        <v>290000017</v>
      </c>
      <c r="C164" s="589" t="s">
        <v>1172</v>
      </c>
      <c r="D164" s="589">
        <v>1</v>
      </c>
      <c r="E164" s="589">
        <v>882.9</v>
      </c>
    </row>
    <row r="165" spans="2:5" x14ac:dyDescent="0.2">
      <c r="B165" s="589">
        <v>310781406</v>
      </c>
      <c r="C165" s="589" t="s">
        <v>1173</v>
      </c>
      <c r="D165" s="589">
        <v>21</v>
      </c>
      <c r="E165" s="590">
        <v>9633.6</v>
      </c>
    </row>
    <row r="166" spans="2:5" x14ac:dyDescent="0.2">
      <c r="B166" s="589">
        <v>330781196</v>
      </c>
      <c r="C166" s="589" t="s">
        <v>1174</v>
      </c>
      <c r="D166" s="589">
        <v>205</v>
      </c>
      <c r="E166" s="590">
        <v>29718.799999999999</v>
      </c>
    </row>
    <row r="167" spans="2:5" x14ac:dyDescent="0.2">
      <c r="B167" s="589">
        <v>340780477</v>
      </c>
      <c r="C167" s="589" t="s">
        <v>1175</v>
      </c>
      <c r="D167" s="589">
        <v>33</v>
      </c>
      <c r="E167" s="590">
        <v>23878.799999999999</v>
      </c>
    </row>
    <row r="168" spans="2:5" x14ac:dyDescent="0.2">
      <c r="B168" s="589">
        <v>350005179</v>
      </c>
      <c r="C168" s="589" t="s">
        <v>1176</v>
      </c>
      <c r="D168" s="589">
        <v>2</v>
      </c>
      <c r="E168" s="590">
        <v>1765.8</v>
      </c>
    </row>
    <row r="169" spans="2:5" x14ac:dyDescent="0.2">
      <c r="B169" s="589">
        <v>370000481</v>
      </c>
      <c r="C169" s="589" t="s">
        <v>1177</v>
      </c>
      <c r="D169" s="589">
        <v>19</v>
      </c>
      <c r="E169" s="590">
        <v>1282.5</v>
      </c>
    </row>
    <row r="170" spans="2:5" x14ac:dyDescent="0.2">
      <c r="B170" s="589">
        <v>380780080</v>
      </c>
      <c r="C170" s="589" t="s">
        <v>1178</v>
      </c>
      <c r="D170" s="589">
        <v>7</v>
      </c>
      <c r="E170" s="589">
        <v>842.4</v>
      </c>
    </row>
    <row r="171" spans="2:5" x14ac:dyDescent="0.2">
      <c r="B171" s="589">
        <v>420784878</v>
      </c>
      <c r="C171" s="589" t="s">
        <v>1179</v>
      </c>
      <c r="D171" s="589">
        <v>3</v>
      </c>
      <c r="E171" s="589">
        <v>56.7</v>
      </c>
    </row>
    <row r="172" spans="2:5" x14ac:dyDescent="0.2">
      <c r="B172" s="589">
        <v>440000289</v>
      </c>
      <c r="C172" s="589" t="s">
        <v>1180</v>
      </c>
      <c r="D172" s="589">
        <v>9</v>
      </c>
      <c r="E172" s="590">
        <v>1749.6</v>
      </c>
    </row>
    <row r="173" spans="2:5" x14ac:dyDescent="0.2">
      <c r="B173" s="589">
        <v>490000031</v>
      </c>
      <c r="C173" s="589" t="s">
        <v>1181</v>
      </c>
      <c r="D173" s="589">
        <v>5</v>
      </c>
      <c r="E173" s="590">
        <v>5116.5</v>
      </c>
    </row>
    <row r="174" spans="2:5" x14ac:dyDescent="0.2">
      <c r="B174" s="589">
        <v>510000029</v>
      </c>
      <c r="C174" s="589" t="s">
        <v>1182</v>
      </c>
      <c r="D174" s="589">
        <v>3</v>
      </c>
      <c r="E174" s="589">
        <v>447.39</v>
      </c>
    </row>
    <row r="175" spans="2:5" x14ac:dyDescent="0.2">
      <c r="B175" s="589">
        <v>540023264</v>
      </c>
      <c r="C175" s="589" t="s">
        <v>1183</v>
      </c>
      <c r="D175" s="589">
        <v>3</v>
      </c>
      <c r="E175" s="589">
        <v>688.5</v>
      </c>
    </row>
    <row r="176" spans="2:5" x14ac:dyDescent="0.2">
      <c r="B176" s="589">
        <v>590780193</v>
      </c>
      <c r="C176" s="589" t="s">
        <v>1184</v>
      </c>
      <c r="D176" s="589">
        <v>16</v>
      </c>
      <c r="E176" s="590">
        <v>5373</v>
      </c>
    </row>
    <row r="177" spans="2:5" x14ac:dyDescent="0.2">
      <c r="B177" s="589">
        <v>630780989</v>
      </c>
      <c r="C177" s="589" t="s">
        <v>1185</v>
      </c>
      <c r="D177" s="589">
        <v>2</v>
      </c>
      <c r="E177" s="589">
        <v>348.3</v>
      </c>
    </row>
    <row r="178" spans="2:5" x14ac:dyDescent="0.2">
      <c r="B178" s="589">
        <v>670780055</v>
      </c>
      <c r="C178" s="589" t="s">
        <v>1186</v>
      </c>
      <c r="D178" s="589">
        <v>7</v>
      </c>
      <c r="E178" s="590">
        <v>5208.3</v>
      </c>
    </row>
    <row r="179" spans="2:5" x14ac:dyDescent="0.2">
      <c r="B179" s="589">
        <v>690000880</v>
      </c>
      <c r="C179" s="589" t="s">
        <v>1187</v>
      </c>
      <c r="D179" s="589">
        <v>3</v>
      </c>
      <c r="E179" s="589">
        <v>583.20000000000005</v>
      </c>
    </row>
    <row r="180" spans="2:5" x14ac:dyDescent="0.2">
      <c r="B180" s="589">
        <v>690781810</v>
      </c>
      <c r="C180" s="589" t="s">
        <v>1188</v>
      </c>
      <c r="D180" s="589">
        <v>594</v>
      </c>
      <c r="E180" s="590">
        <v>130025.25</v>
      </c>
    </row>
    <row r="181" spans="2:5" x14ac:dyDescent="0.2">
      <c r="B181" s="589">
        <v>750000523</v>
      </c>
      <c r="C181" s="589" t="s">
        <v>1189</v>
      </c>
      <c r="D181" s="589">
        <v>22</v>
      </c>
      <c r="E181" s="589">
        <v>891</v>
      </c>
    </row>
    <row r="182" spans="2:5" x14ac:dyDescent="0.2">
      <c r="B182" s="589">
        <v>750110025</v>
      </c>
      <c r="C182" s="589" t="s">
        <v>1190</v>
      </c>
      <c r="D182" s="589">
        <v>114</v>
      </c>
      <c r="E182" s="590">
        <v>14774.4</v>
      </c>
    </row>
    <row r="183" spans="2:5" x14ac:dyDescent="0.2">
      <c r="B183" s="589">
        <v>750712184</v>
      </c>
      <c r="C183" s="589" t="s">
        <v>1191</v>
      </c>
      <c r="D183" s="594">
        <v>1630</v>
      </c>
      <c r="E183" s="590">
        <v>625868.94999999995</v>
      </c>
    </row>
    <row r="184" spans="2:5" x14ac:dyDescent="0.2">
      <c r="B184" s="589">
        <v>760780239</v>
      </c>
      <c r="C184" s="589" t="s">
        <v>1192</v>
      </c>
      <c r="D184" s="589">
        <v>31</v>
      </c>
      <c r="E184" s="590">
        <v>7808.4</v>
      </c>
    </row>
    <row r="185" spans="2:5" x14ac:dyDescent="0.2">
      <c r="B185" s="589">
        <v>870000015</v>
      </c>
      <c r="C185" s="589" t="s">
        <v>1193</v>
      </c>
      <c r="D185" s="589">
        <v>27</v>
      </c>
      <c r="E185" s="590">
        <v>1077.3</v>
      </c>
    </row>
    <row r="186" spans="2:5" x14ac:dyDescent="0.2">
      <c r="B186" s="589">
        <v>920000460</v>
      </c>
      <c r="C186" s="589" t="s">
        <v>1194</v>
      </c>
      <c r="D186" s="589">
        <v>8</v>
      </c>
      <c r="E186" s="590">
        <v>1474.2</v>
      </c>
    </row>
    <row r="187" spans="2:5" x14ac:dyDescent="0.2">
      <c r="B187" s="589">
        <v>999999999</v>
      </c>
      <c r="C187" s="589"/>
      <c r="D187" s="589">
        <v>16</v>
      </c>
      <c r="E187" s="590">
        <v>31152.6</v>
      </c>
    </row>
    <row r="188" spans="2:5" x14ac:dyDescent="0.2">
      <c r="B188" s="591" t="s">
        <v>84</v>
      </c>
      <c r="C188" s="591"/>
      <c r="D188" s="592">
        <v>3131</v>
      </c>
      <c r="E188" s="593">
        <v>1088475.0900000001</v>
      </c>
    </row>
  </sheetData>
  <autoFilter ref="B10:M149" xr:uid="{00000000-0009-0000-0000-000018000000}">
    <filterColumn colId="0">
      <filters>
        <filter val="N404"/>
        <filter val="N452"/>
        <filter val="N454"/>
        <filter val="N455"/>
        <filter val="N459"/>
      </filters>
    </filterColumn>
  </autoFilter>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11"/>
  <dimension ref="A1:AA111"/>
  <sheetViews>
    <sheetView workbookViewId="0"/>
  </sheetViews>
  <sheetFormatPr baseColWidth="10" defaultRowHeight="15" x14ac:dyDescent="0.2"/>
  <cols>
    <col min="1" max="1" width="21.5" bestFit="1" customWidth="1"/>
    <col min="2" max="2" width="5.1640625" bestFit="1" customWidth="1"/>
    <col min="3" max="3" width="19.1640625" customWidth="1"/>
    <col min="25" max="25" width="15.33203125" bestFit="1" customWidth="1"/>
    <col min="27" max="27" width="34.83203125" bestFit="1" customWidth="1"/>
  </cols>
  <sheetData>
    <row r="1" spans="1:27" ht="32" x14ac:dyDescent="0.2">
      <c r="A1" s="164" t="s">
        <v>345</v>
      </c>
      <c r="C1" s="165" t="s">
        <v>346</v>
      </c>
      <c r="Z1" s="854" t="s">
        <v>474</v>
      </c>
      <c r="AA1" s="854"/>
    </row>
    <row r="2" spans="1:27" ht="16" x14ac:dyDescent="0.2">
      <c r="A2" s="9" t="s">
        <v>497</v>
      </c>
      <c r="C2" t="s">
        <v>348</v>
      </c>
      <c r="F2" t="s">
        <v>556</v>
      </c>
      <c r="Y2" t="s">
        <v>475</v>
      </c>
      <c r="Z2" s="198" t="s">
        <v>481</v>
      </c>
      <c r="AA2" s="198" t="s">
        <v>482</v>
      </c>
    </row>
    <row r="3" spans="1:27" x14ac:dyDescent="0.2">
      <c r="A3" s="9" t="s">
        <v>332</v>
      </c>
      <c r="C3" t="s">
        <v>347</v>
      </c>
      <c r="F3" t="s">
        <v>557</v>
      </c>
      <c r="Y3" s="197" t="s">
        <v>375</v>
      </c>
      <c r="Z3" s="197" t="s">
        <v>375</v>
      </c>
      <c r="AA3" s="197" t="s">
        <v>98</v>
      </c>
    </row>
    <row r="4" spans="1:27" x14ac:dyDescent="0.2">
      <c r="Y4" s="197" t="s">
        <v>375</v>
      </c>
      <c r="Z4" s="197" t="s">
        <v>375</v>
      </c>
      <c r="AA4" s="197" t="s">
        <v>86</v>
      </c>
    </row>
    <row r="5" spans="1:27" x14ac:dyDescent="0.2">
      <c r="Y5" s="197" t="s">
        <v>375</v>
      </c>
      <c r="Z5" s="197" t="s">
        <v>375</v>
      </c>
      <c r="AA5" s="197" t="s">
        <v>97</v>
      </c>
    </row>
    <row r="6" spans="1:27" x14ac:dyDescent="0.2">
      <c r="Y6" s="197" t="s">
        <v>375</v>
      </c>
      <c r="Z6" s="197" t="s">
        <v>376</v>
      </c>
      <c r="AA6" s="197" t="s">
        <v>87</v>
      </c>
    </row>
    <row r="7" spans="1:27" x14ac:dyDescent="0.2">
      <c r="Y7" s="197" t="s">
        <v>377</v>
      </c>
      <c r="Z7" s="197" t="s">
        <v>377</v>
      </c>
      <c r="AA7" s="197" t="s">
        <v>113</v>
      </c>
    </row>
    <row r="8" spans="1:27" x14ac:dyDescent="0.2">
      <c r="Y8" s="197" t="s">
        <v>377</v>
      </c>
      <c r="Z8" s="197" t="s">
        <v>377</v>
      </c>
      <c r="AA8" s="197" t="s">
        <v>378</v>
      </c>
    </row>
    <row r="9" spans="1:27" x14ac:dyDescent="0.2">
      <c r="Y9" s="197" t="s">
        <v>379</v>
      </c>
      <c r="Z9" s="197" t="s">
        <v>379</v>
      </c>
      <c r="AA9" s="197" t="s">
        <v>99</v>
      </c>
    </row>
    <row r="10" spans="1:27" x14ac:dyDescent="0.2">
      <c r="Y10" s="197" t="s">
        <v>379</v>
      </c>
      <c r="Z10" s="197" t="s">
        <v>379</v>
      </c>
      <c r="AA10" s="197" t="s">
        <v>116</v>
      </c>
    </row>
    <row r="11" spans="1:27" x14ac:dyDescent="0.2">
      <c r="Y11" s="197" t="s">
        <v>379</v>
      </c>
      <c r="Z11" s="197" t="s">
        <v>379</v>
      </c>
      <c r="AA11" s="197" t="s">
        <v>380</v>
      </c>
    </row>
    <row r="12" spans="1:27" x14ac:dyDescent="0.2">
      <c r="Y12" s="197" t="s">
        <v>379</v>
      </c>
      <c r="Z12" s="197" t="s">
        <v>379</v>
      </c>
      <c r="AA12" s="197" t="s">
        <v>381</v>
      </c>
    </row>
    <row r="13" spans="1:27" x14ac:dyDescent="0.2">
      <c r="Y13" s="197" t="s">
        <v>379</v>
      </c>
      <c r="Z13" s="197" t="s">
        <v>379</v>
      </c>
      <c r="AA13" s="197" t="s">
        <v>114</v>
      </c>
    </row>
    <row r="14" spans="1:27" x14ac:dyDescent="0.2">
      <c r="Y14" s="197" t="s">
        <v>379</v>
      </c>
      <c r="Z14" s="197" t="s">
        <v>379</v>
      </c>
      <c r="AA14" s="197" t="s">
        <v>382</v>
      </c>
    </row>
    <row r="15" spans="1:27" x14ac:dyDescent="0.2">
      <c r="A15" s="164" t="s">
        <v>43</v>
      </c>
      <c r="B15" s="164" t="s">
        <v>487</v>
      </c>
      <c r="Y15" s="197" t="s">
        <v>379</v>
      </c>
      <c r="Z15" s="197" t="s">
        <v>379</v>
      </c>
      <c r="AA15" s="197" t="s">
        <v>383</v>
      </c>
    </row>
    <row r="16" spans="1:27" x14ac:dyDescent="0.2">
      <c r="A16" t="s">
        <v>490</v>
      </c>
      <c r="B16">
        <v>3</v>
      </c>
      <c r="Y16" s="197" t="s">
        <v>384</v>
      </c>
      <c r="Z16" s="197" t="s">
        <v>384</v>
      </c>
      <c r="AA16" s="197" t="s">
        <v>104</v>
      </c>
    </row>
    <row r="17" spans="1:27" x14ac:dyDescent="0.2">
      <c r="A17" t="s">
        <v>488</v>
      </c>
      <c r="B17">
        <v>3.5</v>
      </c>
      <c r="Y17" s="197" t="s">
        <v>384</v>
      </c>
      <c r="Z17" s="197" t="s">
        <v>384</v>
      </c>
      <c r="AA17" s="197" t="s">
        <v>385</v>
      </c>
    </row>
    <row r="18" spans="1:27" x14ac:dyDescent="0.2">
      <c r="A18" t="s">
        <v>489</v>
      </c>
      <c r="B18">
        <v>4</v>
      </c>
      <c r="Y18" s="197" t="s">
        <v>384</v>
      </c>
      <c r="Z18" s="197" t="s">
        <v>384</v>
      </c>
      <c r="AA18" s="197" t="s">
        <v>100</v>
      </c>
    </row>
    <row r="19" spans="1:27" x14ac:dyDescent="0.2">
      <c r="A19" t="s">
        <v>323</v>
      </c>
      <c r="B19">
        <v>2</v>
      </c>
      <c r="Y19" s="197" t="s">
        <v>386</v>
      </c>
      <c r="Z19" s="197" t="s">
        <v>386</v>
      </c>
      <c r="AA19" s="197" t="s">
        <v>387</v>
      </c>
    </row>
    <row r="20" spans="1:27" x14ac:dyDescent="0.2">
      <c r="Y20" s="197" t="s">
        <v>386</v>
      </c>
      <c r="Z20" s="197" t="s">
        <v>386</v>
      </c>
      <c r="AA20" s="197" t="s">
        <v>117</v>
      </c>
    </row>
    <row r="21" spans="1:27" x14ac:dyDescent="0.2">
      <c r="Y21" s="197" t="s">
        <v>386</v>
      </c>
      <c r="Z21" s="197" t="s">
        <v>386</v>
      </c>
      <c r="AA21" s="197" t="s">
        <v>118</v>
      </c>
    </row>
    <row r="22" spans="1:27" x14ac:dyDescent="0.2">
      <c r="Y22" s="197" t="s">
        <v>386</v>
      </c>
      <c r="Z22" s="197" t="s">
        <v>386</v>
      </c>
      <c r="AA22" s="197" t="s">
        <v>388</v>
      </c>
    </row>
    <row r="23" spans="1:27" x14ac:dyDescent="0.2">
      <c r="Y23" s="197" t="s">
        <v>386</v>
      </c>
      <c r="Z23" s="197" t="s">
        <v>386</v>
      </c>
      <c r="AA23" s="197" t="s">
        <v>389</v>
      </c>
    </row>
    <row r="24" spans="1:27" x14ac:dyDescent="0.2">
      <c r="Y24" s="197" t="s">
        <v>386</v>
      </c>
      <c r="Z24" s="197" t="s">
        <v>386</v>
      </c>
      <c r="AA24" s="197" t="s">
        <v>115</v>
      </c>
    </row>
    <row r="25" spans="1:27" x14ac:dyDescent="0.2">
      <c r="Y25" s="197" t="s">
        <v>390</v>
      </c>
      <c r="Z25" s="197" t="s">
        <v>390</v>
      </c>
      <c r="AA25" s="197" t="s">
        <v>391</v>
      </c>
    </row>
    <row r="26" spans="1:27" x14ac:dyDescent="0.2">
      <c r="Y26" s="197" t="s">
        <v>390</v>
      </c>
      <c r="Z26" s="197" t="s">
        <v>390</v>
      </c>
      <c r="AA26" s="197" t="s">
        <v>119</v>
      </c>
    </row>
    <row r="27" spans="1:27" x14ac:dyDescent="0.2">
      <c r="Y27" s="197" t="s">
        <v>392</v>
      </c>
      <c r="Z27" s="197" t="s">
        <v>392</v>
      </c>
      <c r="AA27" s="197" t="s">
        <v>88</v>
      </c>
    </row>
    <row r="28" spans="1:27" x14ac:dyDescent="0.2">
      <c r="Y28" s="197" t="s">
        <v>392</v>
      </c>
      <c r="Z28" s="197" t="s">
        <v>393</v>
      </c>
      <c r="AA28" s="197" t="s">
        <v>89</v>
      </c>
    </row>
    <row r="29" spans="1:27" x14ac:dyDescent="0.2">
      <c r="Y29" s="197" t="s">
        <v>394</v>
      </c>
      <c r="Z29" s="197" t="s">
        <v>394</v>
      </c>
      <c r="AA29" s="197" t="s">
        <v>395</v>
      </c>
    </row>
    <row r="30" spans="1:27" x14ac:dyDescent="0.2">
      <c r="Y30" s="197" t="s">
        <v>394</v>
      </c>
      <c r="Z30" s="197" t="s">
        <v>394</v>
      </c>
      <c r="AA30" s="197" t="s">
        <v>141</v>
      </c>
    </row>
    <row r="31" spans="1:27" x14ac:dyDescent="0.2">
      <c r="Y31" s="197" t="s">
        <v>396</v>
      </c>
      <c r="Z31" s="197" t="s">
        <v>396</v>
      </c>
      <c r="AA31" s="197" t="s">
        <v>122</v>
      </c>
    </row>
    <row r="32" spans="1:27" x14ac:dyDescent="0.2">
      <c r="Y32" s="197" t="s">
        <v>396</v>
      </c>
      <c r="Z32" s="197" t="s">
        <v>396</v>
      </c>
      <c r="AA32" s="197" t="s">
        <v>397</v>
      </c>
    </row>
    <row r="33" spans="25:27" x14ac:dyDescent="0.2">
      <c r="Y33" s="197" t="s">
        <v>396</v>
      </c>
      <c r="Z33" s="197" t="s">
        <v>396</v>
      </c>
      <c r="AA33" s="197" t="s">
        <v>398</v>
      </c>
    </row>
    <row r="34" spans="25:27" x14ac:dyDescent="0.2">
      <c r="Y34" s="197" t="s">
        <v>396</v>
      </c>
      <c r="Z34" s="197" t="s">
        <v>396</v>
      </c>
      <c r="AA34" s="197" t="s">
        <v>121</v>
      </c>
    </row>
    <row r="35" spans="25:27" x14ac:dyDescent="0.2">
      <c r="Y35" s="197" t="s">
        <v>396</v>
      </c>
      <c r="Z35" s="197" t="s">
        <v>396</v>
      </c>
      <c r="AA35" s="197" t="s">
        <v>103</v>
      </c>
    </row>
    <row r="36" spans="25:27" x14ac:dyDescent="0.2">
      <c r="Y36" s="197" t="s">
        <v>399</v>
      </c>
      <c r="Z36" s="197" t="s">
        <v>399</v>
      </c>
      <c r="AA36" s="197" t="s">
        <v>95</v>
      </c>
    </row>
    <row r="37" spans="25:27" x14ac:dyDescent="0.2">
      <c r="Y37" s="197" t="s">
        <v>399</v>
      </c>
      <c r="Z37" s="197" t="s">
        <v>399</v>
      </c>
      <c r="AA37" s="197" t="s">
        <v>126</v>
      </c>
    </row>
    <row r="38" spans="25:27" x14ac:dyDescent="0.2">
      <c r="Y38" s="197" t="s">
        <v>399</v>
      </c>
      <c r="Z38" s="197" t="s">
        <v>399</v>
      </c>
      <c r="AA38" s="197" t="s">
        <v>124</v>
      </c>
    </row>
    <row r="39" spans="25:27" x14ac:dyDescent="0.2">
      <c r="Y39" s="197" t="s">
        <v>399</v>
      </c>
      <c r="Z39" s="197" t="s">
        <v>399</v>
      </c>
      <c r="AA39" s="197" t="s">
        <v>400</v>
      </c>
    </row>
    <row r="40" spans="25:27" x14ac:dyDescent="0.2">
      <c r="Y40" s="197" t="s">
        <v>399</v>
      </c>
      <c r="Z40" s="197" t="s">
        <v>399</v>
      </c>
      <c r="AA40" s="197" t="s">
        <v>401</v>
      </c>
    </row>
    <row r="41" spans="25:27" x14ac:dyDescent="0.2">
      <c r="Y41" s="197" t="s">
        <v>399</v>
      </c>
      <c r="Z41" s="197" t="s">
        <v>399</v>
      </c>
      <c r="AA41" s="197" t="s">
        <v>123</v>
      </c>
    </row>
    <row r="42" spans="25:27" x14ac:dyDescent="0.2">
      <c r="Y42" s="197" t="s">
        <v>399</v>
      </c>
      <c r="Z42" s="197" t="s">
        <v>399</v>
      </c>
      <c r="AA42" s="197" t="s">
        <v>139</v>
      </c>
    </row>
    <row r="43" spans="25:27" x14ac:dyDescent="0.2">
      <c r="Y43" s="197" t="s">
        <v>399</v>
      </c>
      <c r="Z43" s="197" t="s">
        <v>399</v>
      </c>
      <c r="AA43" s="197" t="s">
        <v>125</v>
      </c>
    </row>
    <row r="44" spans="25:27" x14ac:dyDescent="0.2">
      <c r="Y44" s="197" t="s">
        <v>399</v>
      </c>
      <c r="Z44" s="197" t="s">
        <v>399</v>
      </c>
      <c r="AA44" s="197" t="s">
        <v>402</v>
      </c>
    </row>
    <row r="45" spans="25:27" x14ac:dyDescent="0.2">
      <c r="Y45" s="197" t="s">
        <v>399</v>
      </c>
      <c r="Z45" s="197" t="s">
        <v>399</v>
      </c>
      <c r="AA45" s="197" t="s">
        <v>403</v>
      </c>
    </row>
    <row r="46" spans="25:27" x14ac:dyDescent="0.2">
      <c r="Y46" s="197" t="s">
        <v>404</v>
      </c>
      <c r="Z46" s="197" t="s">
        <v>404</v>
      </c>
      <c r="AA46" s="197" t="s">
        <v>405</v>
      </c>
    </row>
    <row r="47" spans="25:27" x14ac:dyDescent="0.2">
      <c r="Y47" s="197" t="s">
        <v>404</v>
      </c>
      <c r="Z47" s="197" t="s">
        <v>404</v>
      </c>
      <c r="AA47" s="197" t="s">
        <v>406</v>
      </c>
    </row>
    <row r="48" spans="25:27" x14ac:dyDescent="0.2">
      <c r="Y48" s="197" t="s">
        <v>404</v>
      </c>
      <c r="Z48" s="197" t="s">
        <v>404</v>
      </c>
      <c r="AA48" s="197" t="s">
        <v>120</v>
      </c>
    </row>
    <row r="49" spans="25:27" x14ac:dyDescent="0.2">
      <c r="Y49" s="197" t="s">
        <v>404</v>
      </c>
      <c r="Z49" s="197" t="s">
        <v>404</v>
      </c>
      <c r="AA49" s="197" t="s">
        <v>407</v>
      </c>
    </row>
    <row r="50" spans="25:27" x14ac:dyDescent="0.2">
      <c r="Y50" s="197" t="s">
        <v>476</v>
      </c>
      <c r="Z50" s="197" t="s">
        <v>408</v>
      </c>
      <c r="AA50" s="197" t="s">
        <v>409</v>
      </c>
    </row>
    <row r="51" spans="25:27" x14ac:dyDescent="0.2">
      <c r="Y51" s="197" t="s">
        <v>476</v>
      </c>
      <c r="Z51" s="197" t="s">
        <v>410</v>
      </c>
      <c r="AA51" s="197" t="s">
        <v>411</v>
      </c>
    </row>
    <row r="52" spans="25:27" x14ac:dyDescent="0.2">
      <c r="Y52" s="197" t="s">
        <v>476</v>
      </c>
      <c r="Z52" s="197" t="s">
        <v>410</v>
      </c>
      <c r="AA52" s="197" t="s">
        <v>412</v>
      </c>
    </row>
    <row r="53" spans="25:27" x14ac:dyDescent="0.2">
      <c r="Y53" s="197" t="s">
        <v>476</v>
      </c>
      <c r="Z53" s="197" t="s">
        <v>413</v>
      </c>
      <c r="AA53" s="197" t="s">
        <v>128</v>
      </c>
    </row>
    <row r="54" spans="25:27" x14ac:dyDescent="0.2">
      <c r="Y54" s="197" t="s">
        <v>476</v>
      </c>
      <c r="Z54" s="197" t="s">
        <v>413</v>
      </c>
      <c r="AA54" s="197" t="s">
        <v>414</v>
      </c>
    </row>
    <row r="55" spans="25:27" x14ac:dyDescent="0.2">
      <c r="Y55" s="197" t="s">
        <v>476</v>
      </c>
      <c r="Z55" s="197" t="s">
        <v>415</v>
      </c>
      <c r="AA55" s="197" t="s">
        <v>127</v>
      </c>
    </row>
    <row r="56" spans="25:27" x14ac:dyDescent="0.2">
      <c r="Y56" s="197" t="s">
        <v>476</v>
      </c>
      <c r="Z56" s="197" t="s">
        <v>415</v>
      </c>
      <c r="AA56" s="197" t="s">
        <v>416</v>
      </c>
    </row>
    <row r="57" spans="25:27" x14ac:dyDescent="0.2">
      <c r="Y57" s="197" t="s">
        <v>477</v>
      </c>
      <c r="Z57" s="197" t="s">
        <v>417</v>
      </c>
      <c r="AA57" s="197" t="s">
        <v>418</v>
      </c>
    </row>
    <row r="58" spans="25:27" x14ac:dyDescent="0.2">
      <c r="Y58" s="197" t="s">
        <v>477</v>
      </c>
      <c r="Z58" s="197" t="s">
        <v>417</v>
      </c>
      <c r="AA58" s="197" t="s">
        <v>419</v>
      </c>
    </row>
    <row r="59" spans="25:27" x14ac:dyDescent="0.2">
      <c r="Y59" s="197" t="s">
        <v>477</v>
      </c>
      <c r="Z59" s="197" t="s">
        <v>420</v>
      </c>
      <c r="AA59" s="197" t="s">
        <v>421</v>
      </c>
    </row>
    <row r="60" spans="25:27" x14ac:dyDescent="0.2">
      <c r="Y60" s="197" t="s">
        <v>477</v>
      </c>
      <c r="Z60" s="197" t="s">
        <v>422</v>
      </c>
      <c r="AA60" s="197" t="s">
        <v>423</v>
      </c>
    </row>
    <row r="61" spans="25:27" x14ac:dyDescent="0.2">
      <c r="Y61" s="197" t="s">
        <v>477</v>
      </c>
      <c r="Z61" s="197" t="s">
        <v>424</v>
      </c>
      <c r="AA61" s="197" t="s">
        <v>425</v>
      </c>
    </row>
    <row r="62" spans="25:27" x14ac:dyDescent="0.2">
      <c r="Y62" s="197" t="s">
        <v>477</v>
      </c>
      <c r="Z62" s="197" t="s">
        <v>424</v>
      </c>
      <c r="AA62" s="197" t="s">
        <v>130</v>
      </c>
    </row>
    <row r="63" spans="25:27" x14ac:dyDescent="0.2">
      <c r="Y63" s="197" t="s">
        <v>477</v>
      </c>
      <c r="Z63" s="197" t="s">
        <v>426</v>
      </c>
      <c r="AA63" s="197" t="s">
        <v>427</v>
      </c>
    </row>
    <row r="64" spans="25:27" x14ac:dyDescent="0.2">
      <c r="Y64" s="197" t="s">
        <v>477</v>
      </c>
      <c r="Z64" s="197" t="s">
        <v>426</v>
      </c>
      <c r="AA64" s="197" t="s">
        <v>129</v>
      </c>
    </row>
    <row r="65" spans="25:27" x14ac:dyDescent="0.2">
      <c r="Y65" s="197" t="s">
        <v>477</v>
      </c>
      <c r="Z65" s="197" t="s">
        <v>469</v>
      </c>
      <c r="AA65" s="197" t="s">
        <v>470</v>
      </c>
    </row>
    <row r="66" spans="25:27" x14ac:dyDescent="0.2">
      <c r="Y66" s="197" t="s">
        <v>478</v>
      </c>
      <c r="Z66" s="197" t="s">
        <v>428</v>
      </c>
      <c r="AA66" s="197" t="s">
        <v>429</v>
      </c>
    </row>
    <row r="67" spans="25:27" x14ac:dyDescent="0.2">
      <c r="Y67" s="197" t="s">
        <v>478</v>
      </c>
      <c r="Z67" s="197" t="s">
        <v>428</v>
      </c>
      <c r="AA67" s="197" t="s">
        <v>131</v>
      </c>
    </row>
    <row r="68" spans="25:27" x14ac:dyDescent="0.2">
      <c r="Y68" s="197" t="s">
        <v>478</v>
      </c>
      <c r="Z68" s="197" t="s">
        <v>430</v>
      </c>
      <c r="AA68" s="197" t="s">
        <v>431</v>
      </c>
    </row>
    <row r="69" spans="25:27" x14ac:dyDescent="0.2">
      <c r="Y69" s="197" t="s">
        <v>478</v>
      </c>
      <c r="Z69" s="197" t="s">
        <v>432</v>
      </c>
      <c r="AA69" s="197" t="s">
        <v>433</v>
      </c>
    </row>
    <row r="70" spans="25:27" x14ac:dyDescent="0.2">
      <c r="Y70" s="197" t="s">
        <v>478</v>
      </c>
      <c r="Z70" s="197" t="s">
        <v>432</v>
      </c>
      <c r="AA70" s="197" t="s">
        <v>132</v>
      </c>
    </row>
    <row r="71" spans="25:27" x14ac:dyDescent="0.2">
      <c r="Y71" s="197" t="s">
        <v>478</v>
      </c>
      <c r="Z71" s="197" t="s">
        <v>434</v>
      </c>
      <c r="AA71" s="197" t="s">
        <v>133</v>
      </c>
    </row>
    <row r="72" spans="25:27" x14ac:dyDescent="0.2">
      <c r="Y72" s="197" t="s">
        <v>478</v>
      </c>
      <c r="Z72" s="197" t="s">
        <v>434</v>
      </c>
      <c r="AA72" s="197" t="s">
        <v>435</v>
      </c>
    </row>
    <row r="73" spans="25:27" x14ac:dyDescent="0.2">
      <c r="Y73" s="197" t="s">
        <v>478</v>
      </c>
      <c r="Z73" s="197" t="s">
        <v>436</v>
      </c>
      <c r="AA73" s="197" t="s">
        <v>134</v>
      </c>
    </row>
    <row r="74" spans="25:27" x14ac:dyDescent="0.2">
      <c r="Y74" s="197" t="s">
        <v>478</v>
      </c>
      <c r="Z74" s="197" t="s">
        <v>436</v>
      </c>
      <c r="AA74" s="197" t="s">
        <v>437</v>
      </c>
    </row>
    <row r="75" spans="25:27" x14ac:dyDescent="0.2">
      <c r="Y75" s="197" t="s">
        <v>478</v>
      </c>
      <c r="Z75" s="197" t="s">
        <v>438</v>
      </c>
      <c r="AA75" s="197" t="s">
        <v>439</v>
      </c>
    </row>
    <row r="76" spans="25:27" x14ac:dyDescent="0.2">
      <c r="Y76" s="197" t="s">
        <v>478</v>
      </c>
      <c r="Z76" s="197" t="s">
        <v>440</v>
      </c>
      <c r="AA76" s="197" t="s">
        <v>441</v>
      </c>
    </row>
    <row r="77" spans="25:27" x14ac:dyDescent="0.2">
      <c r="Y77" s="197" t="s">
        <v>478</v>
      </c>
      <c r="Z77" s="197" t="s">
        <v>440</v>
      </c>
      <c r="AA77" s="197" t="s">
        <v>135</v>
      </c>
    </row>
    <row r="78" spans="25:27" x14ac:dyDescent="0.2">
      <c r="Y78" s="197" t="s">
        <v>479</v>
      </c>
      <c r="Z78" s="197" t="s">
        <v>442</v>
      </c>
      <c r="AA78" s="197" t="s">
        <v>443</v>
      </c>
    </row>
    <row r="79" spans="25:27" x14ac:dyDescent="0.2">
      <c r="Y79" s="197" t="s">
        <v>479</v>
      </c>
      <c r="Z79" s="197" t="s">
        <v>442</v>
      </c>
      <c r="AA79" s="197" t="s">
        <v>105</v>
      </c>
    </row>
    <row r="80" spans="25:27" x14ac:dyDescent="0.2">
      <c r="Y80" s="197" t="s">
        <v>479</v>
      </c>
      <c r="Z80" s="197" t="s">
        <v>444</v>
      </c>
      <c r="AA80" s="197" t="s">
        <v>445</v>
      </c>
    </row>
    <row r="81" spans="25:27" x14ac:dyDescent="0.2">
      <c r="Y81" s="197" t="s">
        <v>479</v>
      </c>
      <c r="Z81" s="197" t="s">
        <v>444</v>
      </c>
      <c r="AA81" s="197" t="s">
        <v>106</v>
      </c>
    </row>
    <row r="82" spans="25:27" x14ac:dyDescent="0.2">
      <c r="Y82" s="197" t="s">
        <v>479</v>
      </c>
      <c r="Z82" s="197" t="s">
        <v>446</v>
      </c>
      <c r="AA82" s="197" t="s">
        <v>94</v>
      </c>
    </row>
    <row r="83" spans="25:27" x14ac:dyDescent="0.2">
      <c r="Y83" s="197" t="s">
        <v>479</v>
      </c>
      <c r="Z83" s="197" t="s">
        <v>447</v>
      </c>
      <c r="AA83" s="197" t="s">
        <v>107</v>
      </c>
    </row>
    <row r="84" spans="25:27" x14ac:dyDescent="0.2">
      <c r="Y84" s="197" t="s">
        <v>479</v>
      </c>
      <c r="Z84" s="197" t="s">
        <v>447</v>
      </c>
      <c r="AA84" s="197" t="s">
        <v>448</v>
      </c>
    </row>
    <row r="85" spans="25:27" x14ac:dyDescent="0.2">
      <c r="Y85" s="197" t="s">
        <v>479</v>
      </c>
      <c r="Z85" s="197" t="s">
        <v>449</v>
      </c>
      <c r="AA85" s="197" t="s">
        <v>108</v>
      </c>
    </row>
    <row r="86" spans="25:27" x14ac:dyDescent="0.2">
      <c r="Y86" s="197" t="s">
        <v>479</v>
      </c>
      <c r="Z86" s="197" t="s">
        <v>449</v>
      </c>
      <c r="AA86" s="197" t="s">
        <v>450</v>
      </c>
    </row>
    <row r="87" spans="25:27" x14ac:dyDescent="0.2">
      <c r="Y87" s="197" t="s">
        <v>479</v>
      </c>
      <c r="Z87" s="197" t="s">
        <v>451</v>
      </c>
      <c r="AA87" s="197" t="s">
        <v>452</v>
      </c>
    </row>
    <row r="88" spans="25:27" x14ac:dyDescent="0.2">
      <c r="Y88" s="197" t="s">
        <v>479</v>
      </c>
      <c r="Z88" s="197" t="s">
        <v>451</v>
      </c>
      <c r="AA88" s="197" t="s">
        <v>110</v>
      </c>
    </row>
    <row r="89" spans="25:27" x14ac:dyDescent="0.2">
      <c r="Y89" s="197" t="s">
        <v>479</v>
      </c>
      <c r="Z89" s="197" t="s">
        <v>453</v>
      </c>
      <c r="AA89" s="197" t="s">
        <v>96</v>
      </c>
    </row>
    <row r="90" spans="25:27" x14ac:dyDescent="0.2">
      <c r="Y90" s="197" t="s">
        <v>479</v>
      </c>
      <c r="Z90" s="197" t="s">
        <v>454</v>
      </c>
      <c r="AA90" s="197" t="s">
        <v>109</v>
      </c>
    </row>
    <row r="91" spans="25:27" x14ac:dyDescent="0.2">
      <c r="Y91" s="197" t="s">
        <v>455</v>
      </c>
      <c r="Z91" s="197" t="s">
        <v>455</v>
      </c>
      <c r="AA91" s="197" t="s">
        <v>137</v>
      </c>
    </row>
    <row r="92" spans="25:27" x14ac:dyDescent="0.2">
      <c r="Y92" s="197" t="s">
        <v>455</v>
      </c>
      <c r="Z92" s="197" t="s">
        <v>455</v>
      </c>
      <c r="AA92" s="197" t="s">
        <v>456</v>
      </c>
    </row>
    <row r="93" spans="25:27" x14ac:dyDescent="0.2">
      <c r="Y93" s="197" t="s">
        <v>455</v>
      </c>
      <c r="Z93" s="197" t="s">
        <v>455</v>
      </c>
      <c r="AA93" s="197" t="s">
        <v>457</v>
      </c>
    </row>
    <row r="94" spans="25:27" x14ac:dyDescent="0.2">
      <c r="Y94" s="197" t="s">
        <v>455</v>
      </c>
      <c r="Z94" s="197" t="s">
        <v>455</v>
      </c>
      <c r="AA94" s="197" t="s">
        <v>458</v>
      </c>
    </row>
    <row r="95" spans="25:27" x14ac:dyDescent="0.2">
      <c r="Y95" s="197" t="s">
        <v>455</v>
      </c>
      <c r="Z95" s="197" t="s">
        <v>455</v>
      </c>
      <c r="AA95" s="197" t="s">
        <v>140</v>
      </c>
    </row>
    <row r="96" spans="25:27" x14ac:dyDescent="0.2">
      <c r="Y96" s="197" t="s">
        <v>480</v>
      </c>
      <c r="Z96" s="197" t="s">
        <v>459</v>
      </c>
      <c r="AA96" s="197" t="s">
        <v>460</v>
      </c>
    </row>
    <row r="97" spans="25:27" x14ac:dyDescent="0.2">
      <c r="Y97" s="197" t="s">
        <v>480</v>
      </c>
      <c r="Z97" s="197" t="s">
        <v>459</v>
      </c>
      <c r="AA97" s="197" t="s">
        <v>101</v>
      </c>
    </row>
    <row r="98" spans="25:27" x14ac:dyDescent="0.2">
      <c r="Y98" s="197" t="s">
        <v>480</v>
      </c>
      <c r="Z98" s="197" t="s">
        <v>461</v>
      </c>
      <c r="AA98" s="197" t="s">
        <v>462</v>
      </c>
    </row>
    <row r="99" spans="25:27" x14ac:dyDescent="0.2">
      <c r="Y99" s="197" t="s">
        <v>480</v>
      </c>
      <c r="Z99" s="197" t="s">
        <v>461</v>
      </c>
      <c r="AA99" s="197" t="s">
        <v>102</v>
      </c>
    </row>
    <row r="100" spans="25:27" x14ac:dyDescent="0.2">
      <c r="Y100" s="197" t="s">
        <v>480</v>
      </c>
      <c r="Z100" s="197" t="s">
        <v>463</v>
      </c>
      <c r="AA100" s="197" t="s">
        <v>111</v>
      </c>
    </row>
    <row r="101" spans="25:27" x14ac:dyDescent="0.2">
      <c r="Y101" s="197" t="s">
        <v>480</v>
      </c>
      <c r="Z101" s="197" t="s">
        <v>463</v>
      </c>
      <c r="AA101" s="197" t="s">
        <v>90</v>
      </c>
    </row>
    <row r="102" spans="25:27" x14ac:dyDescent="0.2">
      <c r="Y102" s="197" t="s">
        <v>480</v>
      </c>
      <c r="Z102" s="197" t="s">
        <v>464</v>
      </c>
      <c r="AA102" s="197" t="s">
        <v>92</v>
      </c>
    </row>
    <row r="103" spans="25:27" x14ac:dyDescent="0.2">
      <c r="Y103" s="197" t="s">
        <v>480</v>
      </c>
      <c r="Z103" s="197" t="s">
        <v>464</v>
      </c>
      <c r="AA103" s="197" t="s">
        <v>112</v>
      </c>
    </row>
    <row r="104" spans="25:27" x14ac:dyDescent="0.2">
      <c r="Y104" s="197" t="s">
        <v>480</v>
      </c>
      <c r="Z104" s="197" t="s">
        <v>465</v>
      </c>
      <c r="AA104" s="197" t="s">
        <v>91</v>
      </c>
    </row>
    <row r="105" spans="25:27" x14ac:dyDescent="0.2">
      <c r="Y105" s="197" t="s">
        <v>480</v>
      </c>
      <c r="Z105" s="197" t="s">
        <v>466</v>
      </c>
      <c r="AA105" s="197" t="s">
        <v>93</v>
      </c>
    </row>
    <row r="106" spans="25:27" x14ac:dyDescent="0.2">
      <c r="Y106" s="197" t="s">
        <v>480</v>
      </c>
      <c r="Z106" s="197" t="s">
        <v>467</v>
      </c>
      <c r="AA106" s="197" t="s">
        <v>468</v>
      </c>
    </row>
    <row r="107" spans="25:27" x14ac:dyDescent="0.2">
      <c r="Y107" s="197" t="s">
        <v>480</v>
      </c>
      <c r="Z107" s="197" t="s">
        <v>467</v>
      </c>
      <c r="AA107" s="197" t="s">
        <v>136</v>
      </c>
    </row>
    <row r="108" spans="25:27" x14ac:dyDescent="0.2">
      <c r="Y108" s="197" t="s">
        <v>471</v>
      </c>
      <c r="Z108" s="197" t="s">
        <v>471</v>
      </c>
      <c r="AA108" s="197" t="s">
        <v>472</v>
      </c>
    </row>
    <row r="109" spans="25:27" x14ac:dyDescent="0.2">
      <c r="Y109" s="197" t="s">
        <v>471</v>
      </c>
      <c r="Z109" s="197" t="s">
        <v>471</v>
      </c>
      <c r="AA109" s="197" t="s">
        <v>142</v>
      </c>
    </row>
    <row r="110" spans="25:27" x14ac:dyDescent="0.2">
      <c r="Y110" s="197" t="s">
        <v>471</v>
      </c>
      <c r="Z110" s="197" t="s">
        <v>471</v>
      </c>
      <c r="AA110" s="197" t="s">
        <v>473</v>
      </c>
    </row>
    <row r="111" spans="25:27" x14ac:dyDescent="0.2">
      <c r="Y111" s="197" t="s">
        <v>471</v>
      </c>
      <c r="Z111" s="197" t="s">
        <v>471</v>
      </c>
      <c r="AA111" s="197" t="s">
        <v>138</v>
      </c>
    </row>
  </sheetData>
  <mergeCells count="1">
    <mergeCell ref="Z1:AA1"/>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9"/>
  <dimension ref="A1:E15"/>
  <sheetViews>
    <sheetView workbookViewId="0"/>
  </sheetViews>
  <sheetFormatPr baseColWidth="10" defaultColWidth="11.5" defaultRowHeight="14" outlineLevelCol="1" x14ac:dyDescent="0.2"/>
  <cols>
    <col min="1" max="1" width="34.6640625" style="75" bestFit="1" customWidth="1"/>
    <col min="2" max="2" width="12.5" style="75" bestFit="1" customWidth="1"/>
    <col min="3" max="4" width="11.5" style="75" customWidth="1" outlineLevel="1"/>
    <col min="5" max="16384" width="11.5" style="75"/>
  </cols>
  <sheetData>
    <row r="1" spans="1:5" x14ac:dyDescent="0.2">
      <c r="A1" s="74" t="s">
        <v>54</v>
      </c>
    </row>
    <row r="3" spans="1:5" ht="19" x14ac:dyDescent="0.25">
      <c r="A3" s="76" t="s">
        <v>55</v>
      </c>
      <c r="C3" s="77" t="s">
        <v>56</v>
      </c>
      <c r="D3" s="77" t="s">
        <v>57</v>
      </c>
    </row>
    <row r="4" spans="1:5" ht="32" x14ac:dyDescent="0.2">
      <c r="B4" s="78" t="s">
        <v>58</v>
      </c>
      <c r="C4" s="78" t="s">
        <v>58</v>
      </c>
      <c r="D4" s="78" t="s">
        <v>59</v>
      </c>
      <c r="E4" s="79" t="s">
        <v>60</v>
      </c>
    </row>
    <row r="5" spans="1:5" ht="15" x14ac:dyDescent="0.2">
      <c r="A5" s="80" t="s">
        <v>61</v>
      </c>
      <c r="B5" s="75">
        <f>SUM(C5:D5)</f>
        <v>2797</v>
      </c>
      <c r="C5" s="75">
        <v>2529</v>
      </c>
      <c r="D5" s="75">
        <v>268</v>
      </c>
    </row>
    <row r="7" spans="1:5" ht="19" x14ac:dyDescent="0.25">
      <c r="A7" s="76" t="s">
        <v>62</v>
      </c>
      <c r="B7" s="81">
        <f>+'Charges directes'!R33</f>
        <v>573502.47000000009</v>
      </c>
      <c r="C7" s="81"/>
      <c r="D7" s="81"/>
      <c r="E7" s="82">
        <f>+B7/$B$5</f>
        <v>205.04199856989635</v>
      </c>
    </row>
    <row r="8" spans="1:5" ht="15" x14ac:dyDescent="0.2">
      <c r="A8" s="80" t="s">
        <v>32</v>
      </c>
      <c r="B8" s="81">
        <f>+B7-B9</f>
        <v>357247.83000000007</v>
      </c>
      <c r="E8" s="82">
        <f>+B8/$B$5</f>
        <v>127.72535931355026</v>
      </c>
    </row>
    <row r="9" spans="1:5" ht="15" x14ac:dyDescent="0.2">
      <c r="A9" s="80" t="s">
        <v>33</v>
      </c>
      <c r="B9" s="81">
        <f>+'Charges directes'!R30+'Charges directes'!R28</f>
        <v>216254.63999999998</v>
      </c>
      <c r="E9" s="82">
        <f>+B9/$B$5</f>
        <v>77.316639256346079</v>
      </c>
    </row>
    <row r="10" spans="1:5" ht="15" x14ac:dyDescent="0.2">
      <c r="B10" s="81"/>
      <c r="E10" s="83"/>
    </row>
    <row r="11" spans="1:5" ht="19" x14ac:dyDescent="0.25">
      <c r="A11" s="76" t="s">
        <v>63</v>
      </c>
      <c r="B11" s="81"/>
      <c r="E11" s="83"/>
    </row>
    <row r="12" spans="1:5" ht="15" x14ac:dyDescent="0.2">
      <c r="A12" s="80" t="s">
        <v>64</v>
      </c>
      <c r="B12" s="81">
        <f>+SUM('Charges indirectes'!P30:P35)+SUM('Charges indirectes'!P56:P60)</f>
        <v>108347.39611940934</v>
      </c>
      <c r="E12" s="82">
        <f t="shared" ref="E12:E15" si="0">+B12/$B$5</f>
        <v>38.737002545373379</v>
      </c>
    </row>
    <row r="13" spans="1:5" ht="15" x14ac:dyDescent="0.2">
      <c r="A13" s="80" t="s">
        <v>34</v>
      </c>
      <c r="B13" s="81">
        <f>+'Charges indirectes'!P37+'Charges indirectes'!P61</f>
        <v>136533.28527297848</v>
      </c>
      <c r="E13" s="82">
        <f t="shared" si="0"/>
        <v>48.814188513757053</v>
      </c>
    </row>
    <row r="14" spans="1:5" ht="15" x14ac:dyDescent="0.2">
      <c r="A14" s="80" t="s">
        <v>35</v>
      </c>
      <c r="B14" s="81">
        <f>+'Charges indirectes'!P36</f>
        <v>12621.529580664352</v>
      </c>
      <c r="E14" s="82">
        <f t="shared" si="0"/>
        <v>4.5125239830762789</v>
      </c>
    </row>
    <row r="15" spans="1:5" ht="15" x14ac:dyDescent="0.2">
      <c r="A15" s="80" t="s">
        <v>36</v>
      </c>
      <c r="B15" s="81">
        <v>0</v>
      </c>
      <c r="E15" s="82">
        <f t="shared" si="0"/>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1"/>
  <dimension ref="A1:P252"/>
  <sheetViews>
    <sheetView workbookViewId="0">
      <selection sqref="A1:F1"/>
    </sheetView>
  </sheetViews>
  <sheetFormatPr baseColWidth="10" defaultColWidth="11.5" defaultRowHeight="14" outlineLevelRow="1" x14ac:dyDescent="0.2"/>
  <cols>
    <col min="1" max="1" width="40.6640625" style="75" bestFit="1" customWidth="1"/>
    <col min="2" max="2" width="11.5" style="75"/>
    <col min="3" max="7" width="11.5" style="85"/>
    <col min="8" max="8" width="12" style="85" bestFit="1" customWidth="1"/>
    <col min="9" max="15" width="11.5" style="85"/>
    <col min="16" max="16384" width="11.5" style="75"/>
  </cols>
  <sheetData>
    <row r="1" spans="1:16" customFormat="1" ht="33.75" customHeight="1" x14ac:dyDescent="0.2">
      <c r="A1" s="809" t="s">
        <v>316</v>
      </c>
      <c r="B1" s="809"/>
      <c r="C1" s="809"/>
      <c r="D1" s="809"/>
      <c r="E1" s="809"/>
      <c r="F1" s="809"/>
      <c r="G1" s="119"/>
      <c r="H1" s="119"/>
      <c r="I1" s="119"/>
      <c r="J1" s="119"/>
    </row>
    <row r="2" spans="1:16" customFormat="1" ht="8.25" customHeight="1" x14ac:dyDescent="0.2"/>
    <row r="3" spans="1:16" customFormat="1" ht="15.75" customHeight="1" x14ac:dyDescent="0.2">
      <c r="A3" s="156" t="s">
        <v>340</v>
      </c>
      <c r="B3" s="148">
        <v>2018</v>
      </c>
    </row>
    <row r="4" spans="1:16" customFormat="1" ht="15.75" customHeight="1" x14ac:dyDescent="0.2">
      <c r="A4" s="156" t="s">
        <v>351</v>
      </c>
      <c r="B4" s="162" t="s">
        <v>341</v>
      </c>
      <c r="C4" s="148"/>
      <c r="D4" s="148"/>
    </row>
    <row r="5" spans="1:16" customFormat="1" ht="15.75" customHeight="1" x14ac:dyDescent="0.2">
      <c r="A5" s="156" t="s">
        <v>352</v>
      </c>
      <c r="B5" s="162" t="s">
        <v>343</v>
      </c>
      <c r="C5" s="148"/>
      <c r="D5" s="148"/>
    </row>
    <row r="6" spans="1:16" customFormat="1" ht="15.75" customHeight="1" x14ac:dyDescent="0.2">
      <c r="A6" s="156" t="s">
        <v>353</v>
      </c>
      <c r="B6" s="162" t="s">
        <v>344</v>
      </c>
      <c r="C6" s="148"/>
      <c r="D6" s="148"/>
    </row>
    <row r="8" spans="1:16" ht="21" x14ac:dyDescent="0.25">
      <c r="A8" s="84" t="s">
        <v>372</v>
      </c>
    </row>
    <row r="9" spans="1:16" ht="15" hidden="1" outlineLevel="1" x14ac:dyDescent="0.2">
      <c r="A9" s="86" t="str">
        <f ca="1">PXL(ITEM(_Criteres(LIST(ITEM(_Data(LIST(ITEM(_Fonction("Somme"),_Code("MONTANT"),_Libelle("Montant")))),_PeriodeDebut(1),_affectationUF(TRUE),_Visible(TRUE),_Domaine("QUERY_VMSCINDIRECTES"),_Type(3),_PeriodeFin(13),_ID("202012031131517"),_TypeColonne("Annee"),_ChampDate("DATEDEBUTMOUVEMENT"),_AnneeFin($B$3),_Total("CALC"),_AnneeDebut($B$3),_NomColonne("Ch Ind #ANNEED")))),_Conditions(LIST(ITEM(_LibelleStructure("UF"),_Index(0),_Valeur($B$4),_Operateur("ET"),_TypeCondition("REQ_UF.CODE"),_OperateurComparaison("=")),ITEM(_LibelleStructure("SC"),_Index(1),_Valeur("P Hémato","P Hémato-Oncologie"),_Operateur("ET"),_TypeCondition("REQ_SC.CODE"),_OperateurComparaison("=")))),_ListDimensionDetail(LIST(ITEM(_LibelleStructure("SC"),_Visible(TRUE),_OptionsComplementaires(LIST("Origine","Producteur")),_Structure("REQ_SC.CODE"),_Options("Code"),_Taille(0)))),_Format(ITEM(_SepMilliers(" "),_NbDecimal(2),_SepDecimal(","))),_ListDimensionColonne(LIST(ITEM(_LibelleStructure("UF"),_Visible(TRUE),_OptionsComplementaires(LIST("Destination","Consommateur")),_Structure("REQ_UF.CODE"),_Options("Code"),_Taille(0)),ITEM(_LibelleStructure("UF"),_Visible(TRUE),_OptionsComplementaires(LIST("Destination","Consommateur")),_Structure("REQ_UF.CODE"),_Options("Libellé"),_Taille(0)))),_Version(2)),A9:O68,"Non calculée")</f>
        <v>Non calculée</v>
      </c>
      <c r="B9" s="87" t="s">
        <v>65</v>
      </c>
      <c r="C9" s="77" t="s">
        <v>56</v>
      </c>
      <c r="D9" s="77" t="s">
        <v>2</v>
      </c>
      <c r="E9" s="77" t="s">
        <v>66</v>
      </c>
      <c r="F9" s="77" t="s">
        <v>67</v>
      </c>
      <c r="G9" s="77" t="s">
        <v>68</v>
      </c>
      <c r="H9" s="77" t="s">
        <v>69</v>
      </c>
      <c r="I9" s="77" t="s">
        <v>1</v>
      </c>
      <c r="J9" s="77" t="s">
        <v>70</v>
      </c>
      <c r="K9" s="77" t="s">
        <v>71</v>
      </c>
      <c r="L9" s="77" t="s">
        <v>57</v>
      </c>
      <c r="M9" s="77" t="s">
        <v>72</v>
      </c>
      <c r="N9" s="77" t="s">
        <v>73</v>
      </c>
      <c r="O9" s="88"/>
    </row>
    <row r="10" spans="1:16" ht="48" hidden="1" outlineLevel="1" x14ac:dyDescent="0.2">
      <c r="A10" s="89" t="s">
        <v>74</v>
      </c>
      <c r="B10" s="90" t="s">
        <v>75</v>
      </c>
      <c r="C10" s="78" t="s">
        <v>58</v>
      </c>
      <c r="D10" s="91" t="s">
        <v>3</v>
      </c>
      <c r="E10" s="91" t="s">
        <v>76</v>
      </c>
      <c r="F10" s="91" t="s">
        <v>77</v>
      </c>
      <c r="G10" s="78" t="s">
        <v>78</v>
      </c>
      <c r="H10" s="91" t="s">
        <v>4</v>
      </c>
      <c r="I10" s="91" t="s">
        <v>79</v>
      </c>
      <c r="J10" s="78" t="s">
        <v>80</v>
      </c>
      <c r="K10" s="91" t="s">
        <v>81</v>
      </c>
      <c r="L10" s="78" t="s">
        <v>59</v>
      </c>
      <c r="M10" s="91" t="s">
        <v>82</v>
      </c>
      <c r="N10" s="91" t="s">
        <v>83</v>
      </c>
      <c r="O10" s="88" t="s">
        <v>84</v>
      </c>
      <c r="P10" s="92" t="s">
        <v>85</v>
      </c>
    </row>
    <row r="11" spans="1:16" ht="15" hidden="1" outlineLevel="1" x14ac:dyDescent="0.2">
      <c r="A11" s="93" t="s">
        <v>86</v>
      </c>
      <c r="B11" s="94">
        <v>10144.697922148913</v>
      </c>
      <c r="C11" s="95">
        <v>60900.61900054515</v>
      </c>
      <c r="D11" s="95">
        <v>48432.967844747873</v>
      </c>
      <c r="E11" s="95">
        <v>42330.740473415615</v>
      </c>
      <c r="F11" s="95">
        <v>46407.969258334706</v>
      </c>
      <c r="G11" s="95">
        <v>216.45885126135033</v>
      </c>
      <c r="H11" s="95">
        <v>771.35174840840602</v>
      </c>
      <c r="I11" s="95">
        <v>24076.309557648692</v>
      </c>
      <c r="J11" s="95">
        <v>184.40526896616825</v>
      </c>
      <c r="K11" s="95">
        <v>55.035790132341234</v>
      </c>
      <c r="L11" s="95">
        <v>4933.7727442847527</v>
      </c>
      <c r="M11" s="95">
        <v>33.696657212054092</v>
      </c>
      <c r="N11" s="95">
        <v>218.69872947980747</v>
      </c>
      <c r="O11" s="95">
        <v>238706.72384658581</v>
      </c>
      <c r="P11" s="85">
        <f>+SUM(C11,G11,J11,L11)</f>
        <v>66235.255865057421</v>
      </c>
    </row>
    <row r="12" spans="1:16" ht="15" hidden="1" outlineLevel="1" x14ac:dyDescent="0.2">
      <c r="A12" s="93" t="s">
        <v>87</v>
      </c>
      <c r="B12" s="94">
        <v>5826.5680010545402</v>
      </c>
      <c r="C12" s="95">
        <v>34978.034894293407</v>
      </c>
      <c r="D12" s="95">
        <v>27817.287691158228</v>
      </c>
      <c r="E12" s="95">
        <v>24312.49701036956</v>
      </c>
      <c r="F12" s="95">
        <v>26654.237587910175</v>
      </c>
      <c r="G12" s="95">
        <v>124.3223037278226</v>
      </c>
      <c r="H12" s="95">
        <v>443.02289228557663</v>
      </c>
      <c r="I12" s="95">
        <v>13828.135241543398</v>
      </c>
      <c r="J12" s="95">
        <v>105.91245275409197</v>
      </c>
      <c r="K12" s="95">
        <v>31.609593125265416</v>
      </c>
      <c r="L12" s="95">
        <v>2833.6932865749859</v>
      </c>
      <c r="M12" s="95">
        <v>19.353544695066581</v>
      </c>
      <c r="N12" s="95">
        <v>125.60876911635108</v>
      </c>
      <c r="O12" s="95">
        <v>137100.28326860847</v>
      </c>
      <c r="P12" s="85">
        <f t="shared" ref="P12:P68" si="0">+SUM(C12,G12,J12,L12)</f>
        <v>38041.962937350305</v>
      </c>
    </row>
    <row r="13" spans="1:16" ht="15" hidden="1" outlineLevel="1" x14ac:dyDescent="0.2">
      <c r="A13" s="93" t="s">
        <v>88</v>
      </c>
      <c r="B13" s="94">
        <v>8470.5595843183746</v>
      </c>
      <c r="C13" s="95">
        <v>61693.031445910601</v>
      </c>
      <c r="D13" s="95">
        <v>28145.017751899937</v>
      </c>
      <c r="E13" s="95">
        <v>38567.348860209539</v>
      </c>
      <c r="F13" s="95">
        <v>1339.8299570632867</v>
      </c>
      <c r="G13" s="96"/>
      <c r="H13" s="96"/>
      <c r="I13" s="95">
        <v>11139.483681481299</v>
      </c>
      <c r="J13" s="96"/>
      <c r="K13" s="96"/>
      <c r="L13" s="95">
        <v>4118.2593872554226</v>
      </c>
      <c r="M13" s="96"/>
      <c r="N13" s="96"/>
      <c r="O13" s="95">
        <v>153473.53066813847</v>
      </c>
      <c r="P13" s="85">
        <f t="shared" si="0"/>
        <v>65811.290833166029</v>
      </c>
    </row>
    <row r="14" spans="1:16" ht="15" hidden="1" outlineLevel="1" x14ac:dyDescent="0.2">
      <c r="A14" s="93" t="s">
        <v>89</v>
      </c>
      <c r="B14" s="94">
        <v>5101.9733173684335</v>
      </c>
      <c r="C14" s="95">
        <v>37158.843777844224</v>
      </c>
      <c r="D14" s="95">
        <v>16952.260137912657</v>
      </c>
      <c r="E14" s="95">
        <v>23229.821223465602</v>
      </c>
      <c r="F14" s="95">
        <v>807.00414449629977</v>
      </c>
      <c r="G14" s="96"/>
      <c r="H14" s="96"/>
      <c r="I14" s="95">
        <v>6709.5152269980817</v>
      </c>
      <c r="J14" s="96"/>
      <c r="K14" s="96"/>
      <c r="L14" s="95">
        <v>2480.5031236280497</v>
      </c>
      <c r="M14" s="96"/>
      <c r="N14" s="96"/>
      <c r="O14" s="95">
        <v>92439.920951713357</v>
      </c>
      <c r="P14" s="85">
        <f t="shared" si="0"/>
        <v>39639.346901472272</v>
      </c>
    </row>
    <row r="15" spans="1:16" ht="15" hidden="1" outlineLevel="1" x14ac:dyDescent="0.2">
      <c r="A15" s="93" t="s">
        <v>90</v>
      </c>
      <c r="B15" s="97"/>
      <c r="C15" s="96"/>
      <c r="D15" s="95">
        <v>106.25271443742527</v>
      </c>
      <c r="E15" s="96"/>
      <c r="F15" s="95">
        <v>106.25271443742527</v>
      </c>
      <c r="G15" s="96"/>
      <c r="H15" s="96"/>
      <c r="I15" s="95">
        <v>106.25271443742527</v>
      </c>
      <c r="J15" s="96"/>
      <c r="K15" s="96"/>
      <c r="L15" s="96"/>
      <c r="M15" s="96"/>
      <c r="N15" s="96"/>
      <c r="O15" s="95">
        <v>318.75814331227582</v>
      </c>
      <c r="P15" s="85">
        <f t="shared" si="0"/>
        <v>0</v>
      </c>
    </row>
    <row r="16" spans="1:16" ht="15" hidden="1" outlineLevel="1" x14ac:dyDescent="0.2">
      <c r="A16" s="93" t="s">
        <v>91</v>
      </c>
      <c r="B16" s="94">
        <v>32.14655657840872</v>
      </c>
      <c r="C16" s="95">
        <v>1607.3278289204361</v>
      </c>
      <c r="D16" s="95">
        <v>4609.0125494293507</v>
      </c>
      <c r="E16" s="95">
        <v>1157.2760368227141</v>
      </c>
      <c r="F16" s="95">
        <v>1506.8698396129089</v>
      </c>
      <c r="G16" s="96"/>
      <c r="H16" s="96"/>
      <c r="I16" s="95">
        <v>8534.9107715675163</v>
      </c>
      <c r="J16" s="96"/>
      <c r="K16" s="96"/>
      <c r="L16" s="95">
        <v>502.2899465376363</v>
      </c>
      <c r="M16" s="96"/>
      <c r="N16" s="96"/>
      <c r="O16" s="95">
        <v>17949.833529468971</v>
      </c>
      <c r="P16" s="85">
        <f t="shared" si="0"/>
        <v>2109.6177754580722</v>
      </c>
    </row>
    <row r="17" spans="1:16" ht="15" hidden="1" outlineLevel="1" x14ac:dyDescent="0.2">
      <c r="A17" s="93" t="s">
        <v>92</v>
      </c>
      <c r="B17" s="97"/>
      <c r="C17" s="95">
        <v>40.664174353548788</v>
      </c>
      <c r="D17" s="95">
        <v>127.47209265438698</v>
      </c>
      <c r="E17" s="95">
        <v>842.70012383737276</v>
      </c>
      <c r="F17" s="95">
        <v>8.6519519901167623</v>
      </c>
      <c r="G17" s="96"/>
      <c r="H17" s="96"/>
      <c r="I17" s="95">
        <v>151.1207614273728</v>
      </c>
      <c r="J17" s="96"/>
      <c r="K17" s="96"/>
      <c r="L17" s="96"/>
      <c r="M17" s="96"/>
      <c r="N17" s="96"/>
      <c r="O17" s="95">
        <v>1170.6091042627982</v>
      </c>
      <c r="P17" s="85">
        <f t="shared" si="0"/>
        <v>40.664174353548788</v>
      </c>
    </row>
    <row r="18" spans="1:16" ht="15" hidden="1" outlineLevel="1" x14ac:dyDescent="0.2">
      <c r="A18" s="93" t="s">
        <v>93</v>
      </c>
      <c r="B18" s="97"/>
      <c r="C18" s="95">
        <v>19.700652069774623</v>
      </c>
      <c r="D18" s="95">
        <v>150.10020624590189</v>
      </c>
      <c r="E18" s="95">
        <v>49.251630174436556</v>
      </c>
      <c r="F18" s="95">
        <v>59.101956209323873</v>
      </c>
      <c r="G18" s="96"/>
      <c r="H18" s="96"/>
      <c r="I18" s="95">
        <v>122.89454386383217</v>
      </c>
      <c r="J18" s="96"/>
      <c r="K18" s="96"/>
      <c r="L18" s="95">
        <v>9.8503260348873116</v>
      </c>
      <c r="M18" s="96"/>
      <c r="N18" s="96"/>
      <c r="O18" s="95">
        <v>410.89931459815642</v>
      </c>
      <c r="P18" s="85">
        <f t="shared" si="0"/>
        <v>29.550978104661937</v>
      </c>
    </row>
    <row r="19" spans="1:16" ht="15" hidden="1" outlineLevel="1" x14ac:dyDescent="0.2">
      <c r="A19" s="93" t="s">
        <v>94</v>
      </c>
      <c r="B19" s="97"/>
      <c r="C19" s="95">
        <v>764.5692049947628</v>
      </c>
      <c r="D19" s="96"/>
      <c r="E19" s="96"/>
      <c r="F19" s="96"/>
      <c r="G19" s="96"/>
      <c r="H19" s="96"/>
      <c r="I19" s="95">
        <v>309.08116797660625</v>
      </c>
      <c r="J19" s="96"/>
      <c r="K19" s="96"/>
      <c r="L19" s="96"/>
      <c r="M19" s="96"/>
      <c r="N19" s="96"/>
      <c r="O19" s="95">
        <v>1073.6503729713691</v>
      </c>
      <c r="P19" s="85">
        <f t="shared" si="0"/>
        <v>764.5692049947628</v>
      </c>
    </row>
    <row r="20" spans="1:16" ht="15" hidden="1" outlineLevel="1" x14ac:dyDescent="0.2">
      <c r="A20" s="93" t="s">
        <v>95</v>
      </c>
      <c r="B20" s="97"/>
      <c r="C20" s="96"/>
      <c r="D20" s="96"/>
      <c r="E20" s="96"/>
      <c r="F20" s="96"/>
      <c r="G20" s="96"/>
      <c r="H20" s="96"/>
      <c r="I20" s="96"/>
      <c r="J20" s="96"/>
      <c r="K20" s="96"/>
      <c r="L20" s="96"/>
      <c r="M20" s="95">
        <v>25.12589602853771</v>
      </c>
      <c r="N20" s="96"/>
      <c r="O20" s="95">
        <v>25.12589602853771</v>
      </c>
      <c r="P20" s="85">
        <f t="shared" si="0"/>
        <v>0</v>
      </c>
    </row>
    <row r="21" spans="1:16" ht="15" hidden="1" outlineLevel="1" x14ac:dyDescent="0.2">
      <c r="A21" s="93" t="s">
        <v>96</v>
      </c>
      <c r="B21" s="97"/>
      <c r="C21" s="98">
        <v>-1090.8909487200049</v>
      </c>
      <c r="D21" s="96"/>
      <c r="E21" s="96"/>
      <c r="F21" s="96"/>
      <c r="G21" s="96"/>
      <c r="H21" s="96"/>
      <c r="I21" s="98">
        <v>-654.53456923200292</v>
      </c>
      <c r="J21" s="96"/>
      <c r="K21" s="96"/>
      <c r="L21" s="96"/>
      <c r="M21" s="96"/>
      <c r="N21" s="96"/>
      <c r="O21" s="98">
        <v>-1745.4255179520078</v>
      </c>
      <c r="P21" s="85">
        <f t="shared" si="0"/>
        <v>-1090.8909487200049</v>
      </c>
    </row>
    <row r="22" spans="1:16" ht="15" hidden="1" outlineLevel="1" x14ac:dyDescent="0.2">
      <c r="A22" s="93" t="s">
        <v>97</v>
      </c>
      <c r="B22" s="94">
        <v>875.10349979837292</v>
      </c>
      <c r="C22" s="95">
        <v>5253.41860706437</v>
      </c>
      <c r="D22" s="95">
        <v>4177.9321564641432</v>
      </c>
      <c r="E22" s="95">
        <v>3651.5408759944421</v>
      </c>
      <c r="F22" s="95">
        <v>4003.251415484372</v>
      </c>
      <c r="G22" s="95">
        <v>18.672206876419065</v>
      </c>
      <c r="H22" s="95">
        <v>66.538463716503145</v>
      </c>
      <c r="I22" s="95">
        <v>2077.0930129936705</v>
      </c>
      <c r="J22" s="95">
        <v>15.907195807302163</v>
      </c>
      <c r="K22" s="95">
        <v>4.7475058329561968</v>
      </c>
      <c r="L22" s="95">
        <v>425.59786687259361</v>
      </c>
      <c r="M22" s="95">
        <v>2.9067462514968883</v>
      </c>
      <c r="N22" s="95">
        <v>18.865423597423092</v>
      </c>
      <c r="O22" s="95">
        <v>20591.574976754066</v>
      </c>
      <c r="P22" s="85">
        <f t="shared" si="0"/>
        <v>5713.595876620685</v>
      </c>
    </row>
    <row r="23" spans="1:16" ht="15" hidden="1" outlineLevel="1" x14ac:dyDescent="0.2">
      <c r="A23" s="93" t="s">
        <v>98</v>
      </c>
      <c r="B23" s="94">
        <v>285.8080132843682</v>
      </c>
      <c r="C23" s="95">
        <v>1715.7617760437988</v>
      </c>
      <c r="D23" s="95">
        <v>1364.5088718660306</v>
      </c>
      <c r="E23" s="95">
        <v>1192.5899547140327</v>
      </c>
      <c r="F23" s="95">
        <v>1307.4582995051926</v>
      </c>
      <c r="G23" s="95">
        <v>6.0983259148359465</v>
      </c>
      <c r="H23" s="95">
        <v>21.73140220121325</v>
      </c>
      <c r="I23" s="95">
        <v>678.65528369504807</v>
      </c>
      <c r="J23" s="95">
        <v>5.195275794986502</v>
      </c>
      <c r="K23" s="95">
        <v>1.5505311205883525</v>
      </c>
      <c r="L23" s="95">
        <v>138.9998792336531</v>
      </c>
      <c r="M23" s="95">
        <v>0.9493407025037871</v>
      </c>
      <c r="N23" s="95">
        <v>6.1614303215446444</v>
      </c>
      <c r="O23" s="95">
        <v>6725.4683843977964</v>
      </c>
      <c r="P23" s="85">
        <f t="shared" si="0"/>
        <v>1866.0552569872741</v>
      </c>
    </row>
    <row r="24" spans="1:16" ht="15" hidden="1" outlineLevel="1" x14ac:dyDescent="0.2">
      <c r="A24" s="93" t="s">
        <v>99</v>
      </c>
      <c r="B24" s="97"/>
      <c r="C24" s="96"/>
      <c r="D24" s="96"/>
      <c r="E24" s="96"/>
      <c r="F24" s="96"/>
      <c r="G24" s="96"/>
      <c r="H24" s="96"/>
      <c r="I24" s="96"/>
      <c r="J24" s="96"/>
      <c r="K24" s="96"/>
      <c r="L24" s="96"/>
      <c r="M24" s="95">
        <v>78799.159002220185</v>
      </c>
      <c r="N24" s="95">
        <v>78799.159002220185</v>
      </c>
      <c r="O24" s="95">
        <v>157598.31800444037</v>
      </c>
      <c r="P24" s="85">
        <f t="shared" si="0"/>
        <v>0</v>
      </c>
    </row>
    <row r="25" spans="1:16" ht="15" hidden="1" outlineLevel="1" x14ac:dyDescent="0.2">
      <c r="A25" s="93" t="s">
        <v>100</v>
      </c>
      <c r="B25" s="94">
        <v>2982.4834866721499</v>
      </c>
      <c r="C25" s="95">
        <v>19436.139915179105</v>
      </c>
      <c r="D25" s="95">
        <v>15830.382658462415</v>
      </c>
      <c r="E25" s="95">
        <v>17264.772654937449</v>
      </c>
      <c r="F25" s="95">
        <v>50928.56366611104</v>
      </c>
      <c r="G25" s="95">
        <v>114.1474299835119</v>
      </c>
      <c r="H25" s="95">
        <v>567.99823967088832</v>
      </c>
      <c r="I25" s="95">
        <v>9397.5637259695886</v>
      </c>
      <c r="J25" s="95">
        <v>54.624649045669571</v>
      </c>
      <c r="K25" s="95">
        <v>16.180209258600765</v>
      </c>
      <c r="L25" s="95">
        <v>1850.9999775195504</v>
      </c>
      <c r="M25" s="95">
        <v>9.9066255557577865</v>
      </c>
      <c r="N25" s="95">
        <v>64.296182521671241</v>
      </c>
      <c r="O25" s="95">
        <v>118518.0594208874</v>
      </c>
      <c r="P25" s="85">
        <f t="shared" si="0"/>
        <v>21455.911971727837</v>
      </c>
    </row>
    <row r="26" spans="1:16" ht="15" hidden="1" outlineLevel="1" x14ac:dyDescent="0.2">
      <c r="A26" s="93" t="s">
        <v>101</v>
      </c>
      <c r="B26" s="97"/>
      <c r="C26" s="95">
        <v>2557.7387012459876</v>
      </c>
      <c r="D26" s="95">
        <v>1540.6476459838414</v>
      </c>
      <c r="E26" s="95">
        <v>17062.086881687021</v>
      </c>
      <c r="F26" s="95">
        <v>897.73479751720038</v>
      </c>
      <c r="G26" s="96"/>
      <c r="H26" s="96"/>
      <c r="I26" s="95">
        <v>8235.5817844012672</v>
      </c>
      <c r="J26" s="95">
        <v>3290.7179282563611</v>
      </c>
      <c r="K26" s="96"/>
      <c r="L26" s="95">
        <v>1020.752290162298</v>
      </c>
      <c r="M26" s="96"/>
      <c r="N26" s="96"/>
      <c r="O26" s="95">
        <v>34605.260029253972</v>
      </c>
      <c r="P26" s="85">
        <f t="shared" si="0"/>
        <v>6869.2089196646466</v>
      </c>
    </row>
    <row r="27" spans="1:16" ht="15" hidden="1" outlineLevel="1" x14ac:dyDescent="0.2">
      <c r="A27" s="93" t="s">
        <v>102</v>
      </c>
      <c r="B27" s="97"/>
      <c r="C27" s="95">
        <v>1112.6377803854132</v>
      </c>
      <c r="D27" s="95">
        <v>913.43445802012945</v>
      </c>
      <c r="E27" s="95">
        <v>7463.5086723503691</v>
      </c>
      <c r="F27" s="95">
        <v>1342.2551292901549</v>
      </c>
      <c r="G27" s="96"/>
      <c r="H27" s="96"/>
      <c r="I27" s="95">
        <v>4134.1134277780784</v>
      </c>
      <c r="J27" s="95">
        <v>1598.3278006901983</v>
      </c>
      <c r="K27" s="96"/>
      <c r="L27" s="95">
        <v>690.00336633086101</v>
      </c>
      <c r="M27" s="96"/>
      <c r="N27" s="96"/>
      <c r="O27" s="95">
        <v>17254.280634845203</v>
      </c>
      <c r="P27" s="85">
        <f t="shared" si="0"/>
        <v>3400.9689474064721</v>
      </c>
    </row>
    <row r="28" spans="1:16" ht="15" hidden="1" outlineLevel="1" x14ac:dyDescent="0.2">
      <c r="A28" s="93" t="s">
        <v>103</v>
      </c>
      <c r="B28" s="94">
        <v>2112.0752477718752</v>
      </c>
      <c r="C28" s="95">
        <v>19712.702312537502</v>
      </c>
      <c r="D28" s="95">
        <v>30337.080831632389</v>
      </c>
      <c r="E28" s="95">
        <v>8320.2964306164777</v>
      </c>
      <c r="F28" s="95">
        <v>81474.90273980597</v>
      </c>
      <c r="G28" s="95">
        <v>320.01140117755682</v>
      </c>
      <c r="H28" s="95">
        <v>3776.1345338951705</v>
      </c>
      <c r="I28" s="95">
        <v>35073.24956906023</v>
      </c>
      <c r="J28" s="96"/>
      <c r="K28" s="96"/>
      <c r="L28" s="95">
        <v>5760.2052211960236</v>
      </c>
      <c r="M28" s="95">
        <v>128.00456047102273</v>
      </c>
      <c r="N28" s="95">
        <v>128.00456047102273</v>
      </c>
      <c r="O28" s="95">
        <v>187142.66740863523</v>
      </c>
      <c r="P28" s="85">
        <f t="shared" si="0"/>
        <v>25792.918934911082</v>
      </c>
    </row>
    <row r="29" spans="1:16" ht="15" hidden="1" outlineLevel="1" x14ac:dyDescent="0.2">
      <c r="A29" s="93" t="s">
        <v>104</v>
      </c>
      <c r="B29" s="94">
        <v>3679.3384703201682</v>
      </c>
      <c r="C29" s="95">
        <v>22087.793256593333</v>
      </c>
      <c r="D29" s="95">
        <v>17565.952499570616</v>
      </c>
      <c r="E29" s="95">
        <v>15352.76092952261</v>
      </c>
      <c r="F29" s="95">
        <v>16831.514149753722</v>
      </c>
      <c r="G29" s="95">
        <v>78.506564197280085</v>
      </c>
      <c r="H29" s="95">
        <v>279.75837071219519</v>
      </c>
      <c r="I29" s="95">
        <v>8737.5621227171687</v>
      </c>
      <c r="J29" s="95">
        <v>66.881183199710193</v>
      </c>
      <c r="K29" s="95">
        <v>19.960702766346778</v>
      </c>
      <c r="L29" s="95">
        <v>1789.409601071563</v>
      </c>
      <c r="M29" s="95">
        <v>12.221301033598412</v>
      </c>
      <c r="N29" s="95">
        <v>79.318936350817395</v>
      </c>
      <c r="O29" s="95">
        <v>86580.978087809126</v>
      </c>
      <c r="P29" s="85">
        <f t="shared" si="0"/>
        <v>24022.590605061887</v>
      </c>
    </row>
    <row r="30" spans="1:16" ht="15" hidden="1" outlineLevel="1" x14ac:dyDescent="0.2">
      <c r="A30" s="93" t="s">
        <v>105</v>
      </c>
      <c r="B30" s="97"/>
      <c r="C30" s="95">
        <v>3557.8974287855035</v>
      </c>
      <c r="D30" s="95">
        <v>1824.6371648643144</v>
      </c>
      <c r="E30" s="95">
        <v>1202.4039822516031</v>
      </c>
      <c r="F30" s="95">
        <v>781.78015251340662</v>
      </c>
      <c r="G30" s="96"/>
      <c r="H30" s="96"/>
      <c r="I30" s="95">
        <v>2007.3909667505654</v>
      </c>
      <c r="J30" s="96"/>
      <c r="K30" s="96"/>
      <c r="L30" s="95">
        <v>578.7203726397945</v>
      </c>
      <c r="M30" s="96"/>
      <c r="N30" s="96"/>
      <c r="O30" s="95">
        <v>9952.8300678051874</v>
      </c>
      <c r="P30" s="85">
        <f>+SUM(C30,G30,J30,L30)</f>
        <v>4136.6178014252982</v>
      </c>
    </row>
    <row r="31" spans="1:16" ht="15" hidden="1" outlineLevel="1" x14ac:dyDescent="0.2">
      <c r="A31" s="93" t="s">
        <v>106</v>
      </c>
      <c r="B31" s="97"/>
      <c r="C31" s="95">
        <v>4609.4938159316471</v>
      </c>
      <c r="D31" s="95">
        <v>613.54437138068067</v>
      </c>
      <c r="E31" s="95">
        <v>754.1849149636447</v>
      </c>
      <c r="F31" s="95">
        <v>875.48738380395127</v>
      </c>
      <c r="G31" s="96"/>
      <c r="H31" s="96"/>
      <c r="I31" s="95">
        <v>3254.070577150831</v>
      </c>
      <c r="J31" s="96"/>
      <c r="K31" s="96"/>
      <c r="L31" s="95">
        <v>1021.4019477712765</v>
      </c>
      <c r="M31" s="96"/>
      <c r="N31" s="96"/>
      <c r="O31" s="95">
        <v>11128.183011002031</v>
      </c>
      <c r="P31" s="85">
        <f t="shared" si="0"/>
        <v>5630.8957637029234</v>
      </c>
    </row>
    <row r="32" spans="1:16" ht="15" hidden="1" outlineLevel="1" x14ac:dyDescent="0.2">
      <c r="A32" s="93" t="s">
        <v>107</v>
      </c>
      <c r="B32" s="97"/>
      <c r="C32" s="95">
        <v>9158.0147043520556</v>
      </c>
      <c r="D32" s="95">
        <v>1518.9976312507015</v>
      </c>
      <c r="E32" s="95">
        <v>2522.2279508552019</v>
      </c>
      <c r="F32" s="95">
        <v>1160.4764512039519</v>
      </c>
      <c r="G32" s="96"/>
      <c r="H32" s="96"/>
      <c r="I32" s="95">
        <v>5566.5130586205833</v>
      </c>
      <c r="J32" s="96"/>
      <c r="K32" s="96"/>
      <c r="L32" s="95">
        <v>1871.2289660334727</v>
      </c>
      <c r="M32" s="96"/>
      <c r="N32" s="96"/>
      <c r="O32" s="95">
        <v>21797.458762315968</v>
      </c>
      <c r="P32" s="85">
        <f t="shared" si="0"/>
        <v>11029.243670385527</v>
      </c>
    </row>
    <row r="33" spans="1:16" ht="15" hidden="1" outlineLevel="1" x14ac:dyDescent="0.2">
      <c r="A33" s="93" t="s">
        <v>108</v>
      </c>
      <c r="B33" s="97"/>
      <c r="C33" s="95">
        <v>13076.93669891633</v>
      </c>
      <c r="D33" s="95">
        <v>3159.4592601526601</v>
      </c>
      <c r="E33" s="95">
        <v>4130.2811609378969</v>
      </c>
      <c r="F33" s="95">
        <v>1715.2330402566015</v>
      </c>
      <c r="G33" s="96"/>
      <c r="H33" s="96"/>
      <c r="I33" s="95">
        <v>9433.7817214113074</v>
      </c>
      <c r="J33" s="96"/>
      <c r="K33" s="96"/>
      <c r="L33" s="95">
        <v>2118.312804716903</v>
      </c>
      <c r="M33" s="96"/>
      <c r="N33" s="96"/>
      <c r="O33" s="95">
        <v>33634.004686391701</v>
      </c>
      <c r="P33" s="85">
        <f t="shared" si="0"/>
        <v>15195.249503633233</v>
      </c>
    </row>
    <row r="34" spans="1:16" ht="15" hidden="1" outlineLevel="1" x14ac:dyDescent="0.2">
      <c r="A34" s="93" t="s">
        <v>109</v>
      </c>
      <c r="B34" s="97"/>
      <c r="C34" s="95">
        <v>25778.023687466994</v>
      </c>
      <c r="D34" s="95">
        <v>9647.7885121302043</v>
      </c>
      <c r="E34" s="95">
        <v>1257.4645701203413</v>
      </c>
      <c r="F34" s="96"/>
      <c r="G34" s="96"/>
      <c r="H34" s="96"/>
      <c r="I34" s="95">
        <v>27577.498848156451</v>
      </c>
      <c r="J34" s="96"/>
      <c r="K34" s="96"/>
      <c r="L34" s="95">
        <v>3772.3937103610238</v>
      </c>
      <c r="M34" s="96"/>
      <c r="N34" s="96"/>
      <c r="O34" s="95">
        <v>68033.169328235017</v>
      </c>
      <c r="P34" s="85">
        <f t="shared" si="0"/>
        <v>29550.417397828016</v>
      </c>
    </row>
    <row r="35" spans="1:16" ht="15" hidden="1" outlineLevel="1" x14ac:dyDescent="0.2">
      <c r="A35" s="93" t="s">
        <v>110</v>
      </c>
      <c r="B35" s="97"/>
      <c r="C35" s="95">
        <v>1085.4697758700984</v>
      </c>
      <c r="D35" s="95">
        <v>242.46652432722007</v>
      </c>
      <c r="E35" s="96"/>
      <c r="F35" s="96"/>
      <c r="G35" s="96"/>
      <c r="H35" s="96"/>
      <c r="I35" s="95">
        <v>542.73488793504919</v>
      </c>
      <c r="J35" s="96"/>
      <c r="K35" s="96"/>
      <c r="L35" s="96"/>
      <c r="M35" s="96"/>
      <c r="N35" s="96"/>
      <c r="O35" s="95">
        <v>1870.6711881323677</v>
      </c>
      <c r="P35" s="85">
        <f t="shared" si="0"/>
        <v>1085.4697758700984</v>
      </c>
    </row>
    <row r="36" spans="1:16" ht="15" hidden="1" outlineLevel="1" x14ac:dyDescent="0.2">
      <c r="A36" s="93" t="s">
        <v>111</v>
      </c>
      <c r="B36" s="94">
        <v>26.524761851278118</v>
      </c>
      <c r="C36" s="95">
        <v>3326.0741496719979</v>
      </c>
      <c r="D36" s="95">
        <v>24760.37398887458</v>
      </c>
      <c r="E36" s="95">
        <v>828.81694130351752</v>
      </c>
      <c r="F36" s="95">
        <v>75.317225009802058</v>
      </c>
      <c r="G36" s="95">
        <v>3313.9579004312909</v>
      </c>
      <c r="H36" s="95">
        <v>27467.864494879119</v>
      </c>
      <c r="I36" s="95">
        <v>31645.350753357572</v>
      </c>
      <c r="J36" s="95">
        <v>2841.0967138480119</v>
      </c>
      <c r="K36" s="95">
        <v>6.5493239138958312</v>
      </c>
      <c r="L36" s="95">
        <v>3140.400816713051</v>
      </c>
      <c r="M36" s="95">
        <v>9126.4828740138419</v>
      </c>
      <c r="N36" s="95">
        <v>334.01551960868738</v>
      </c>
      <c r="O36" s="95">
        <v>106892.82546347665</v>
      </c>
      <c r="P36" s="85">
        <f>+SUM(C36,G36,J36,L36)</f>
        <v>12621.529580664352</v>
      </c>
    </row>
    <row r="37" spans="1:16" ht="15" hidden="1" outlineLevel="1" x14ac:dyDescent="0.2">
      <c r="A37" s="93" t="s">
        <v>112</v>
      </c>
      <c r="B37" s="94">
        <v>134.42240879824251</v>
      </c>
      <c r="C37" s="95">
        <v>37395.643539690667</v>
      </c>
      <c r="D37" s="95">
        <v>101226.77970488061</v>
      </c>
      <c r="E37" s="95">
        <v>7235.3394957911178</v>
      </c>
      <c r="F37" s="95">
        <v>11010.140200002988</v>
      </c>
      <c r="G37" s="95">
        <v>14462.14423546806</v>
      </c>
      <c r="H37" s="95">
        <v>93038.900464203994</v>
      </c>
      <c r="I37" s="95">
        <v>163429.60632857349</v>
      </c>
      <c r="J37" s="95">
        <v>49598.820719367861</v>
      </c>
      <c r="K37" s="95">
        <v>573.35272324148343</v>
      </c>
      <c r="L37" s="95">
        <v>27771.79158280425</v>
      </c>
      <c r="M37" s="95">
        <v>51398.739821303512</v>
      </c>
      <c r="N37" s="95">
        <v>15964.261311562708</v>
      </c>
      <c r="O37" s="95">
        <v>573239.94253568898</v>
      </c>
      <c r="P37" s="117">
        <f>+SUM(C37,G37,J37,L37)</f>
        <v>129228.40007733084</v>
      </c>
    </row>
    <row r="38" spans="1:16" ht="15" hidden="1" outlineLevel="1" x14ac:dyDescent="0.2">
      <c r="A38" s="93" t="s">
        <v>113</v>
      </c>
      <c r="B38" s="97"/>
      <c r="C38" s="95">
        <v>14345.369385021395</v>
      </c>
      <c r="D38" s="95">
        <v>6489.1666969017297</v>
      </c>
      <c r="E38" s="95">
        <v>3569.7979964307883</v>
      </c>
      <c r="F38" s="96"/>
      <c r="G38" s="96"/>
      <c r="H38" s="96"/>
      <c r="I38" s="95">
        <v>10420.104215217201</v>
      </c>
      <c r="J38" s="96"/>
      <c r="K38" s="96"/>
      <c r="L38" s="95">
        <v>1520.1894010224332</v>
      </c>
      <c r="M38" s="96"/>
      <c r="N38" s="96"/>
      <c r="O38" s="95">
        <v>36344.627694593546</v>
      </c>
      <c r="P38" s="85">
        <f t="shared" si="0"/>
        <v>15865.558786043828</v>
      </c>
    </row>
    <row r="39" spans="1:16" ht="15" hidden="1" outlineLevel="1" x14ac:dyDescent="0.2">
      <c r="A39" s="93" t="s">
        <v>114</v>
      </c>
      <c r="B39" s="97"/>
      <c r="C39" s="96"/>
      <c r="D39" s="95">
        <v>687.1998330375435</v>
      </c>
      <c r="E39" s="96"/>
      <c r="F39" s="96"/>
      <c r="G39" s="95">
        <v>2084.5061602138821</v>
      </c>
      <c r="H39" s="95">
        <v>10502.70411492379</v>
      </c>
      <c r="I39" s="95">
        <v>4569.8788896996639</v>
      </c>
      <c r="J39" s="95">
        <v>6413.8651083504064</v>
      </c>
      <c r="K39" s="95">
        <v>400.8665692719004</v>
      </c>
      <c r="L39" s="95">
        <v>1168.2397161638239</v>
      </c>
      <c r="M39" s="95">
        <v>24510.127378339053</v>
      </c>
      <c r="N39" s="95">
        <v>36925.537695217339</v>
      </c>
      <c r="O39" s="95">
        <v>87262.925465217399</v>
      </c>
      <c r="P39" s="85">
        <f t="shared" si="0"/>
        <v>9666.6109847281132</v>
      </c>
    </row>
    <row r="40" spans="1:16" ht="15" hidden="1" outlineLevel="1" x14ac:dyDescent="0.2">
      <c r="A40" s="93" t="s">
        <v>115</v>
      </c>
      <c r="B40" s="97"/>
      <c r="C40" s="95">
        <v>103848.84095934527</v>
      </c>
      <c r="D40" s="96"/>
      <c r="E40" s="96"/>
      <c r="F40" s="96"/>
      <c r="G40" s="96"/>
      <c r="H40" s="96"/>
      <c r="I40" s="96"/>
      <c r="J40" s="96"/>
      <c r="K40" s="96"/>
      <c r="L40" s="96"/>
      <c r="M40" s="96"/>
      <c r="N40" s="96"/>
      <c r="O40" s="95">
        <v>103848.84095934527</v>
      </c>
      <c r="P40" s="85">
        <f t="shared" si="0"/>
        <v>103848.84095934527</v>
      </c>
    </row>
    <row r="41" spans="1:16" ht="15" hidden="1" outlineLevel="1" x14ac:dyDescent="0.2">
      <c r="A41" s="93" t="s">
        <v>116</v>
      </c>
      <c r="B41" s="94">
        <v>42615.993627202144</v>
      </c>
      <c r="C41" s="95">
        <v>3705.7385762784475</v>
      </c>
      <c r="D41" s="95">
        <v>317.48602970924901</v>
      </c>
      <c r="E41" s="95">
        <v>4960.0686280805621</v>
      </c>
      <c r="F41" s="95">
        <v>6354.9252831966069</v>
      </c>
      <c r="G41" s="96"/>
      <c r="H41" s="96"/>
      <c r="I41" s="95">
        <v>2024.6240255229159</v>
      </c>
      <c r="J41" s="96"/>
      <c r="K41" s="96"/>
      <c r="L41" s="95">
        <v>567.31110226734654</v>
      </c>
      <c r="M41" s="96"/>
      <c r="N41" s="96"/>
      <c r="O41" s="95">
        <v>60546.147272257273</v>
      </c>
      <c r="P41" s="85">
        <f t="shared" si="0"/>
        <v>4273.0496785457944</v>
      </c>
    </row>
    <row r="42" spans="1:16" ht="15" hidden="1" outlineLevel="1" x14ac:dyDescent="0.2">
      <c r="A42" s="93" t="s">
        <v>117</v>
      </c>
      <c r="B42" s="97"/>
      <c r="C42" s="95">
        <v>318681.55531611299</v>
      </c>
      <c r="D42" s="96"/>
      <c r="E42" s="96"/>
      <c r="F42" s="96"/>
      <c r="G42" s="96"/>
      <c r="H42" s="96"/>
      <c r="I42" s="96"/>
      <c r="J42" s="96"/>
      <c r="K42" s="96"/>
      <c r="L42" s="96"/>
      <c r="M42" s="96"/>
      <c r="N42" s="96"/>
      <c r="O42" s="95">
        <v>318681.55531611299</v>
      </c>
      <c r="P42" s="85">
        <f t="shared" si="0"/>
        <v>318681.55531611299</v>
      </c>
    </row>
    <row r="43" spans="1:16" ht="15" hidden="1" outlineLevel="1" x14ac:dyDescent="0.2">
      <c r="A43" s="93" t="s">
        <v>118</v>
      </c>
      <c r="B43" s="97"/>
      <c r="C43" s="95">
        <v>42126.483130741202</v>
      </c>
      <c r="D43" s="95">
        <v>3171.2315367937149</v>
      </c>
      <c r="E43" s="95">
        <v>7047.1811928749221</v>
      </c>
      <c r="F43" s="95">
        <v>900.47315242290665</v>
      </c>
      <c r="G43" s="96"/>
      <c r="H43" s="96"/>
      <c r="I43" s="95">
        <v>156.6040265083316</v>
      </c>
      <c r="J43" s="96"/>
      <c r="K43" s="96"/>
      <c r="L43" s="95">
        <v>274.05704638958031</v>
      </c>
      <c r="M43" s="96"/>
      <c r="N43" s="96"/>
      <c r="O43" s="95">
        <v>53676.030085730657</v>
      </c>
      <c r="P43" s="85">
        <f t="shared" si="0"/>
        <v>42400.540177130781</v>
      </c>
    </row>
    <row r="44" spans="1:16" ht="15" hidden="1" outlineLevel="1" x14ac:dyDescent="0.2">
      <c r="A44" s="93" t="s">
        <v>119</v>
      </c>
      <c r="B44" s="97"/>
      <c r="C44" s="95">
        <v>64491.043206602058</v>
      </c>
      <c r="D44" s="95">
        <v>27099.457394282272</v>
      </c>
      <c r="E44" s="95">
        <v>44060.224064832626</v>
      </c>
      <c r="F44" s="96"/>
      <c r="G44" s="96"/>
      <c r="H44" s="96"/>
      <c r="I44" s="95">
        <v>48533.52299881912</v>
      </c>
      <c r="J44" s="96"/>
      <c r="K44" s="96"/>
      <c r="L44" s="95">
        <v>6279.1425669678429</v>
      </c>
      <c r="M44" s="96"/>
      <c r="N44" s="96"/>
      <c r="O44" s="95">
        <v>190463.39023150393</v>
      </c>
      <c r="P44" s="85">
        <f t="shared" si="0"/>
        <v>70770.185773569901</v>
      </c>
    </row>
    <row r="45" spans="1:16" ht="15" hidden="1" outlineLevel="1" x14ac:dyDescent="0.2">
      <c r="A45" s="93" t="s">
        <v>120</v>
      </c>
      <c r="B45" s="97"/>
      <c r="C45" s="95">
        <v>12527.696349694337</v>
      </c>
      <c r="D45" s="95">
        <v>4474.1772677479776</v>
      </c>
      <c r="E45" s="95">
        <v>3877.620298714914</v>
      </c>
      <c r="F45" s="96"/>
      <c r="G45" s="96"/>
      <c r="H45" s="96"/>
      <c r="I45" s="96"/>
      <c r="J45" s="96"/>
      <c r="K45" s="96"/>
      <c r="L45" s="96"/>
      <c r="M45" s="96"/>
      <c r="N45" s="96"/>
      <c r="O45" s="95">
        <v>20879.493916157229</v>
      </c>
      <c r="P45" s="85">
        <f t="shared" si="0"/>
        <v>12527.696349694337</v>
      </c>
    </row>
    <row r="46" spans="1:16" ht="15" hidden="1" outlineLevel="1" x14ac:dyDescent="0.2">
      <c r="A46" s="93" t="s">
        <v>121</v>
      </c>
      <c r="B46" s="94">
        <v>802.24362992417059</v>
      </c>
      <c r="C46" s="95">
        <v>7487.6072126255922</v>
      </c>
      <c r="D46" s="95">
        <v>11523.13577527445</v>
      </c>
      <c r="E46" s="95">
        <v>3160.3536936406722</v>
      </c>
      <c r="F46" s="95">
        <v>30947.155784650582</v>
      </c>
      <c r="G46" s="95">
        <v>121.55206514002585</v>
      </c>
      <c r="H46" s="95">
        <v>1434.3143686523051</v>
      </c>
      <c r="I46" s="95">
        <v>13322.106339346832</v>
      </c>
      <c r="J46" s="96"/>
      <c r="K46" s="96"/>
      <c r="L46" s="95">
        <v>2187.9371725204651</v>
      </c>
      <c r="M46" s="95">
        <v>48.620826056010337</v>
      </c>
      <c r="N46" s="95">
        <v>48.620826056010337</v>
      </c>
      <c r="O46" s="95">
        <v>71083.64769388712</v>
      </c>
      <c r="P46" s="85">
        <f t="shared" si="0"/>
        <v>9797.0964502860825</v>
      </c>
    </row>
    <row r="47" spans="1:16" ht="15" hidden="1" outlineLevel="1" x14ac:dyDescent="0.2">
      <c r="A47" s="93" t="s">
        <v>122</v>
      </c>
      <c r="B47" s="97"/>
      <c r="C47" s="95">
        <v>11439.750831241141</v>
      </c>
      <c r="D47" s="95">
        <v>60698.278921225326</v>
      </c>
      <c r="E47" s="96"/>
      <c r="F47" s="96"/>
      <c r="G47" s="96"/>
      <c r="H47" s="96"/>
      <c r="I47" s="96"/>
      <c r="J47" s="96"/>
      <c r="K47" s="96"/>
      <c r="L47" s="96"/>
      <c r="M47" s="96"/>
      <c r="N47" s="96"/>
      <c r="O47" s="95">
        <v>72138.029752466464</v>
      </c>
      <c r="P47" s="85">
        <f t="shared" si="0"/>
        <v>11439.750831241141</v>
      </c>
    </row>
    <row r="48" spans="1:16" ht="15" hidden="1" outlineLevel="1" x14ac:dyDescent="0.2">
      <c r="A48" s="93" t="s">
        <v>123</v>
      </c>
      <c r="B48" s="94">
        <v>48.021761715476309</v>
      </c>
      <c r="C48" s="95">
        <v>106096.07888339231</v>
      </c>
      <c r="D48" s="95">
        <v>59338.890226423558</v>
      </c>
      <c r="E48" s="95">
        <v>83781.966939600999</v>
      </c>
      <c r="F48" s="95">
        <v>69199.358632001356</v>
      </c>
      <c r="G48" s="95">
        <v>368.16683981865168</v>
      </c>
      <c r="H48" s="95">
        <v>2977.3492263595308</v>
      </c>
      <c r="I48" s="95">
        <v>63932.972097204125</v>
      </c>
      <c r="J48" s="95">
        <v>2016.9139920500049</v>
      </c>
      <c r="K48" s="95">
        <v>624.28290230119194</v>
      </c>
      <c r="L48" s="95">
        <v>11397.164780473044</v>
      </c>
      <c r="M48" s="95">
        <v>144.06528514642892</v>
      </c>
      <c r="N48" s="95">
        <v>2305.0445623428627</v>
      </c>
      <c r="O48" s="95">
        <v>402230.27612882952</v>
      </c>
      <c r="P48" s="85">
        <f t="shared" si="0"/>
        <v>119878.32449573401</v>
      </c>
    </row>
    <row r="49" spans="1:16" ht="15" hidden="1" outlineLevel="1" x14ac:dyDescent="0.2">
      <c r="A49" s="93" t="s">
        <v>124</v>
      </c>
      <c r="B49" s="97"/>
      <c r="C49" s="95">
        <v>170.23156707365015</v>
      </c>
      <c r="D49" s="96"/>
      <c r="E49" s="96"/>
      <c r="F49" s="96"/>
      <c r="G49" s="96"/>
      <c r="H49" s="96"/>
      <c r="I49" s="96"/>
      <c r="J49" s="96"/>
      <c r="K49" s="96"/>
      <c r="L49" s="96"/>
      <c r="M49" s="96"/>
      <c r="N49" s="96"/>
      <c r="O49" s="95">
        <v>170.23156707365015</v>
      </c>
      <c r="P49" s="85">
        <f t="shared" si="0"/>
        <v>170.23156707365015</v>
      </c>
    </row>
    <row r="50" spans="1:16" ht="15" hidden="1" outlineLevel="1" x14ac:dyDescent="0.2">
      <c r="A50" s="93" t="s">
        <v>125</v>
      </c>
      <c r="B50" s="97"/>
      <c r="C50" s="95">
        <v>52255.801915914089</v>
      </c>
      <c r="D50" s="95">
        <v>13692.410737435013</v>
      </c>
      <c r="E50" s="96"/>
      <c r="F50" s="95">
        <v>383815.3884837252</v>
      </c>
      <c r="G50" s="96"/>
      <c r="H50" s="96"/>
      <c r="I50" s="95">
        <v>41772.54994506541</v>
      </c>
      <c r="J50" s="96"/>
      <c r="K50" s="96"/>
      <c r="L50" s="95">
        <v>6792.7193892744008</v>
      </c>
      <c r="M50" s="96"/>
      <c r="N50" s="96"/>
      <c r="O50" s="95">
        <v>498328.87047141412</v>
      </c>
      <c r="P50" s="85">
        <f t="shared" si="0"/>
        <v>59048.521305188493</v>
      </c>
    </row>
    <row r="51" spans="1:16" ht="15" hidden="1" outlineLevel="1" x14ac:dyDescent="0.2">
      <c r="A51" s="93" t="s">
        <v>126</v>
      </c>
      <c r="B51" s="97"/>
      <c r="C51" s="96"/>
      <c r="D51" s="96"/>
      <c r="E51" s="95">
        <v>7.9479536885072877</v>
      </c>
      <c r="F51" s="96"/>
      <c r="G51" s="96"/>
      <c r="H51" s="96"/>
      <c r="I51" s="96"/>
      <c r="J51" s="96"/>
      <c r="K51" s="96"/>
      <c r="L51" s="96"/>
      <c r="M51" s="96"/>
      <c r="N51" s="96"/>
      <c r="O51" s="95">
        <v>7.9479536885072877</v>
      </c>
      <c r="P51" s="85">
        <f t="shared" si="0"/>
        <v>0</v>
      </c>
    </row>
    <row r="52" spans="1:16" ht="15" hidden="1" outlineLevel="1" x14ac:dyDescent="0.2">
      <c r="A52" s="93" t="s">
        <v>127</v>
      </c>
      <c r="B52" s="97"/>
      <c r="C52" s="95">
        <v>5673.5592254236462</v>
      </c>
      <c r="D52" s="96"/>
      <c r="E52" s="95">
        <v>395.49525652509573</v>
      </c>
      <c r="F52" s="96"/>
      <c r="G52" s="96"/>
      <c r="H52" s="96"/>
      <c r="I52" s="95">
        <v>3609.7930686472373</v>
      </c>
      <c r="J52" s="96"/>
      <c r="K52" s="96"/>
      <c r="L52" s="95">
        <v>431.44937075464986</v>
      </c>
      <c r="M52" s="96"/>
      <c r="N52" s="96"/>
      <c r="O52" s="95">
        <v>10110.296921350629</v>
      </c>
      <c r="P52" s="85">
        <f t="shared" si="0"/>
        <v>6105.0085961782961</v>
      </c>
    </row>
    <row r="53" spans="1:16" ht="15" hidden="1" outlineLevel="1" x14ac:dyDescent="0.2">
      <c r="A53" s="93" t="s">
        <v>128</v>
      </c>
      <c r="B53" s="97"/>
      <c r="C53" s="95">
        <v>673.44729692186922</v>
      </c>
      <c r="D53" s="96"/>
      <c r="E53" s="96"/>
      <c r="F53" s="96"/>
      <c r="G53" s="96"/>
      <c r="H53" s="96"/>
      <c r="I53" s="96"/>
      <c r="J53" s="96"/>
      <c r="K53" s="96"/>
      <c r="L53" s="96"/>
      <c r="M53" s="96"/>
      <c r="N53" s="96"/>
      <c r="O53" s="95">
        <v>673.44729692186922</v>
      </c>
      <c r="P53" s="85">
        <f t="shared" si="0"/>
        <v>673.44729692186922</v>
      </c>
    </row>
    <row r="54" spans="1:16" ht="15" hidden="1" outlineLevel="1" x14ac:dyDescent="0.2">
      <c r="A54" s="93" t="s">
        <v>129</v>
      </c>
      <c r="B54" s="97"/>
      <c r="C54" s="95">
        <v>1518.7429443394547</v>
      </c>
      <c r="D54" s="96"/>
      <c r="E54" s="96"/>
      <c r="F54" s="96"/>
      <c r="G54" s="96"/>
      <c r="H54" s="96"/>
      <c r="I54" s="96"/>
      <c r="J54" s="96"/>
      <c r="K54" s="96"/>
      <c r="L54" s="96"/>
      <c r="M54" s="96"/>
      <c r="N54" s="96"/>
      <c r="O54" s="95">
        <v>1518.7429443394547</v>
      </c>
      <c r="P54" s="85">
        <f t="shared" si="0"/>
        <v>1518.7429443394547</v>
      </c>
    </row>
    <row r="55" spans="1:16" ht="15" hidden="1" outlineLevel="1" x14ac:dyDescent="0.2">
      <c r="A55" s="93" t="s">
        <v>130</v>
      </c>
      <c r="B55" s="97"/>
      <c r="C55" s="95">
        <v>16056.550059966909</v>
      </c>
      <c r="D55" s="95">
        <v>488.34814026118545</v>
      </c>
      <c r="E55" s="95">
        <v>1873.4045035881684</v>
      </c>
      <c r="F55" s="96"/>
      <c r="G55" s="96"/>
      <c r="H55" s="96"/>
      <c r="I55" s="95">
        <v>11164.64886183331</v>
      </c>
      <c r="J55" s="96"/>
      <c r="K55" s="96"/>
      <c r="L55" s="95">
        <v>2399.6417236972043</v>
      </c>
      <c r="M55" s="96"/>
      <c r="N55" s="96"/>
      <c r="O55" s="95">
        <v>31982.593289346776</v>
      </c>
      <c r="P55" s="85">
        <f t="shared" si="0"/>
        <v>18456.191783664111</v>
      </c>
    </row>
    <row r="56" spans="1:16" ht="15" hidden="1" outlineLevel="1" x14ac:dyDescent="0.2">
      <c r="A56" s="93" t="s">
        <v>131</v>
      </c>
      <c r="B56" s="97"/>
      <c r="C56" s="95">
        <v>10981.718632548163</v>
      </c>
      <c r="D56" s="95">
        <v>7161.9904125314115</v>
      </c>
      <c r="E56" s="95">
        <v>24801.333935601731</v>
      </c>
      <c r="F56" s="96"/>
      <c r="G56" s="96"/>
      <c r="H56" s="96"/>
      <c r="I56" s="95">
        <v>14418.129055837882</v>
      </c>
      <c r="J56" s="96"/>
      <c r="K56" s="96"/>
      <c r="L56" s="95">
        <v>1909.8641100083764</v>
      </c>
      <c r="M56" s="96"/>
      <c r="N56" s="96"/>
      <c r="O56" s="95">
        <v>59273.036146527564</v>
      </c>
      <c r="P56" s="85">
        <f t="shared" si="0"/>
        <v>12891.58274255654</v>
      </c>
    </row>
    <row r="57" spans="1:16" ht="15" hidden="1" outlineLevel="1" x14ac:dyDescent="0.2">
      <c r="A57" s="93" t="s">
        <v>132</v>
      </c>
      <c r="B57" s="97"/>
      <c r="C57" s="95">
        <v>584.41590536790056</v>
      </c>
      <c r="D57" s="95">
        <v>283.35316623898211</v>
      </c>
      <c r="E57" s="95">
        <v>2169.4226790172065</v>
      </c>
      <c r="F57" s="96"/>
      <c r="G57" s="96"/>
      <c r="H57" s="96"/>
      <c r="I57" s="95">
        <v>1797.5216483285426</v>
      </c>
      <c r="J57" s="96"/>
      <c r="K57" s="96"/>
      <c r="L57" s="96"/>
      <c r="M57" s="96"/>
      <c r="N57" s="96"/>
      <c r="O57" s="95">
        <v>4834.7133989526319</v>
      </c>
      <c r="P57" s="85">
        <f t="shared" si="0"/>
        <v>584.41590536790056</v>
      </c>
    </row>
    <row r="58" spans="1:16" ht="15" hidden="1" outlineLevel="1" x14ac:dyDescent="0.2">
      <c r="A58" s="93" t="s">
        <v>133</v>
      </c>
      <c r="B58" s="97"/>
      <c r="C58" s="95">
        <v>6797.3368858537269</v>
      </c>
      <c r="D58" s="96"/>
      <c r="E58" s="96"/>
      <c r="F58" s="96"/>
      <c r="G58" s="96"/>
      <c r="H58" s="96"/>
      <c r="I58" s="95">
        <v>2154.1787019977137</v>
      </c>
      <c r="J58" s="96"/>
      <c r="K58" s="96"/>
      <c r="L58" s="96"/>
      <c r="M58" s="96"/>
      <c r="N58" s="96"/>
      <c r="O58" s="95">
        <v>8951.5155878514415</v>
      </c>
      <c r="P58" s="85">
        <f t="shared" si="0"/>
        <v>6797.3368858537269</v>
      </c>
    </row>
    <row r="59" spans="1:16" ht="15" hidden="1" outlineLevel="1" x14ac:dyDescent="0.2">
      <c r="A59" s="93" t="s">
        <v>134</v>
      </c>
      <c r="B59" s="97"/>
      <c r="C59" s="95">
        <v>2434.8016646735496</v>
      </c>
      <c r="D59" s="96"/>
      <c r="E59" s="95">
        <v>728.59595268640305</v>
      </c>
      <c r="F59" s="96"/>
      <c r="G59" s="96"/>
      <c r="H59" s="96"/>
      <c r="I59" s="95">
        <v>1660.092044095602</v>
      </c>
      <c r="J59" s="96"/>
      <c r="K59" s="96"/>
      <c r="L59" s="95">
        <v>894.60515709596325</v>
      </c>
      <c r="M59" s="96"/>
      <c r="N59" s="96"/>
      <c r="O59" s="95">
        <v>5718.0948185515181</v>
      </c>
      <c r="P59" s="85">
        <f t="shared" si="0"/>
        <v>3329.406821769513</v>
      </c>
    </row>
    <row r="60" spans="1:16" ht="15" hidden="1" outlineLevel="1" x14ac:dyDescent="0.2">
      <c r="A60" s="93" t="s">
        <v>135</v>
      </c>
      <c r="B60" s="97"/>
      <c r="C60" s="95">
        <v>16874.559932469576</v>
      </c>
      <c r="D60" s="95">
        <v>15842.082078092852</v>
      </c>
      <c r="E60" s="95">
        <v>30732.348634182159</v>
      </c>
      <c r="F60" s="96"/>
      <c r="G60" s="96"/>
      <c r="H60" s="96"/>
      <c r="I60" s="95">
        <v>10889.414870379505</v>
      </c>
      <c r="J60" s="96"/>
      <c r="K60" s="96"/>
      <c r="L60" s="95">
        <v>1242.1999185469954</v>
      </c>
      <c r="M60" s="96"/>
      <c r="N60" s="96"/>
      <c r="O60" s="95">
        <v>75580.60543367108</v>
      </c>
      <c r="P60" s="85">
        <f t="shared" si="0"/>
        <v>18116.75985101657</v>
      </c>
    </row>
    <row r="61" spans="1:16" ht="15" hidden="1" outlineLevel="1" x14ac:dyDescent="0.2">
      <c r="A61" s="93" t="s">
        <v>136</v>
      </c>
      <c r="B61" s="97"/>
      <c r="C61" s="95">
        <v>646.91649266100126</v>
      </c>
      <c r="D61" s="95">
        <v>3244.1664113444285</v>
      </c>
      <c r="E61" s="95">
        <v>416.90173971486746</v>
      </c>
      <c r="F61" s="95">
        <v>57.503688236533442</v>
      </c>
      <c r="G61" s="95">
        <v>1571.7674784652475</v>
      </c>
      <c r="H61" s="95">
        <v>28550.581209438853</v>
      </c>
      <c r="I61" s="95">
        <v>9134.4608763733377</v>
      </c>
      <c r="J61" s="95">
        <v>3892.9996936133139</v>
      </c>
      <c r="K61" s="96"/>
      <c r="L61" s="95">
        <v>1193.2015309080689</v>
      </c>
      <c r="M61" s="95">
        <v>2597.249918683427</v>
      </c>
      <c r="N61" s="95">
        <v>2377.7775085806579</v>
      </c>
      <c r="O61" s="95">
        <v>53683.526548019734</v>
      </c>
      <c r="P61" s="117">
        <f t="shared" si="0"/>
        <v>7304.8851956476319</v>
      </c>
    </row>
    <row r="62" spans="1:16" ht="15" hidden="1" outlineLevel="1" x14ac:dyDescent="0.2">
      <c r="A62" s="93" t="s">
        <v>137</v>
      </c>
      <c r="B62" s="97"/>
      <c r="C62" s="96"/>
      <c r="D62" s="95">
        <v>39534.875514607003</v>
      </c>
      <c r="E62" s="96"/>
      <c r="F62" s="96"/>
      <c r="G62" s="96"/>
      <c r="H62" s="96"/>
      <c r="I62" s="96"/>
      <c r="J62" s="96"/>
      <c r="K62" s="96"/>
      <c r="L62" s="96"/>
      <c r="M62" s="96"/>
      <c r="N62" s="96"/>
      <c r="O62" s="95">
        <v>39534.875514607003</v>
      </c>
      <c r="P62" s="85">
        <f t="shared" si="0"/>
        <v>0</v>
      </c>
    </row>
    <row r="63" spans="1:16" ht="15" hidden="1" outlineLevel="1" x14ac:dyDescent="0.2">
      <c r="A63" s="93" t="s">
        <v>138</v>
      </c>
      <c r="B63" s="97"/>
      <c r="C63" s="96"/>
      <c r="D63" s="95">
        <v>1134.9096045290448</v>
      </c>
      <c r="E63" s="96"/>
      <c r="F63" s="96"/>
      <c r="G63" s="96"/>
      <c r="H63" s="96"/>
      <c r="I63" s="96"/>
      <c r="J63" s="96"/>
      <c r="K63" s="96"/>
      <c r="L63" s="96"/>
      <c r="M63" s="96"/>
      <c r="N63" s="96"/>
      <c r="O63" s="95">
        <v>1134.9096045290448</v>
      </c>
      <c r="P63" s="85">
        <f t="shared" si="0"/>
        <v>0</v>
      </c>
    </row>
    <row r="64" spans="1:16" ht="15" hidden="1" outlineLevel="1" x14ac:dyDescent="0.2">
      <c r="A64" s="93" t="s">
        <v>139</v>
      </c>
      <c r="B64" s="99">
        <v>-0.70664940362585904</v>
      </c>
      <c r="C64" s="98">
        <v>-407.07843627573629</v>
      </c>
      <c r="D64" s="98">
        <v>-538.42179052661675</v>
      </c>
      <c r="E64" s="98">
        <v>-418.34837876301515</v>
      </c>
      <c r="F64" s="98">
        <v>-1241.7068879842066</v>
      </c>
      <c r="G64" s="98">
        <v>-3.4854886796642113</v>
      </c>
      <c r="H64" s="98">
        <v>-9.3094891048601323</v>
      </c>
      <c r="I64" s="98">
        <v>-631.40258357987409</v>
      </c>
      <c r="J64" s="98">
        <v>-14.684368499363583</v>
      </c>
      <c r="K64" s="98">
        <v>-5.4176350703186467</v>
      </c>
      <c r="L64" s="98">
        <v>-73.160585431226224</v>
      </c>
      <c r="M64" s="98">
        <v>-0.93801478307349551</v>
      </c>
      <c r="N64" s="98">
        <v>-18.844439825792257</v>
      </c>
      <c r="O64" s="98">
        <v>-3363.504747927373</v>
      </c>
      <c r="P64" s="85">
        <f t="shared" si="0"/>
        <v>-498.40887888599036</v>
      </c>
    </row>
    <row r="65" spans="1:16" ht="15" hidden="1" outlineLevel="1" x14ac:dyDescent="0.2">
      <c r="A65" s="93" t="s">
        <v>140</v>
      </c>
      <c r="B65" s="94">
        <v>1849.1542162892074</v>
      </c>
      <c r="C65" s="96"/>
      <c r="D65" s="96"/>
      <c r="E65" s="96"/>
      <c r="F65" s="96"/>
      <c r="G65" s="96"/>
      <c r="H65" s="96"/>
      <c r="I65" s="96"/>
      <c r="J65" s="96"/>
      <c r="K65" s="96"/>
      <c r="L65" s="96"/>
      <c r="M65" s="96"/>
      <c r="N65" s="96"/>
      <c r="O65" s="95">
        <v>1849.1542162892074</v>
      </c>
      <c r="P65" s="85">
        <f t="shared" si="0"/>
        <v>0</v>
      </c>
    </row>
    <row r="66" spans="1:16" ht="15" hidden="1" outlineLevel="1" x14ac:dyDescent="0.2">
      <c r="A66" s="93" t="s">
        <v>141</v>
      </c>
      <c r="B66" s="94">
        <v>16004.381431280233</v>
      </c>
      <c r="C66" s="95">
        <v>96077.452809884635</v>
      </c>
      <c r="D66" s="95">
        <v>76408.356087559136</v>
      </c>
      <c r="E66" s="95">
        <v>66781.418431981074</v>
      </c>
      <c r="F66" s="95">
        <v>73213.697160948679</v>
      </c>
      <c r="G66" s="95">
        <v>341.48774525851803</v>
      </c>
      <c r="H66" s="95">
        <v>1216.8925771816416</v>
      </c>
      <c r="I66" s="95">
        <v>38002.636440436341</v>
      </c>
      <c r="J66" s="95">
        <v>290.91967894172831</v>
      </c>
      <c r="K66" s="95">
        <v>86.825037513122766</v>
      </c>
      <c r="L66" s="95">
        <v>7783.5714282225954</v>
      </c>
      <c r="M66" s="95">
        <v>53.16019847208787</v>
      </c>
      <c r="N66" s="95">
        <v>345.02140053765038</v>
      </c>
      <c r="O66" s="95">
        <v>376605.82042821747</v>
      </c>
      <c r="P66" s="85">
        <f t="shared" si="0"/>
        <v>104493.43166230748</v>
      </c>
    </row>
    <row r="67" spans="1:16" ht="15" hidden="1" outlineLevel="1" x14ac:dyDescent="0.2">
      <c r="A67" s="93" t="s">
        <v>142</v>
      </c>
      <c r="B67" s="97"/>
      <c r="C67" s="95">
        <v>3974.6735140007572</v>
      </c>
      <c r="D67" s="96"/>
      <c r="E67" s="96"/>
      <c r="F67" s="96"/>
      <c r="G67" s="96"/>
      <c r="H67" s="96"/>
      <c r="I67" s="95">
        <v>1821.7253605836804</v>
      </c>
      <c r="J67" s="96"/>
      <c r="K67" s="96"/>
      <c r="L67" s="96"/>
      <c r="M67" s="96"/>
      <c r="N67" s="96"/>
      <c r="O67" s="95">
        <v>5796.3988745844372</v>
      </c>
      <c r="P67" s="85">
        <f t="shared" si="0"/>
        <v>3974.6735140007572</v>
      </c>
    </row>
    <row r="68" spans="1:16" ht="15" hidden="1" outlineLevel="1" x14ac:dyDescent="0.2">
      <c r="A68" s="100" t="s">
        <v>143</v>
      </c>
      <c r="B68" s="101">
        <v>100990.78928697274</v>
      </c>
      <c r="C68" s="102">
        <v>1264998.9404418247</v>
      </c>
      <c r="D68" s="102">
        <v>672115.4513118146</v>
      </c>
      <c r="E68" s="102">
        <v>496673.64429673826</v>
      </c>
      <c r="F68" s="102">
        <v>812540.82735751022</v>
      </c>
      <c r="G68" s="102">
        <v>23138.314019254791</v>
      </c>
      <c r="H68" s="102">
        <v>171105.83261742431</v>
      </c>
      <c r="I68" s="102">
        <v>654867.49604859995</v>
      </c>
      <c r="J68" s="102">
        <v>70361.903292186442</v>
      </c>
      <c r="K68" s="102">
        <v>1815.5432534073746</v>
      </c>
      <c r="L68" s="102">
        <v>112796.72104662361</v>
      </c>
      <c r="M68" s="102">
        <v>166908.83196140151</v>
      </c>
      <c r="N68" s="102">
        <v>137721.54741815894</v>
      </c>
      <c r="O68" s="102">
        <v>4686035.8423519172</v>
      </c>
      <c r="P68" s="85">
        <f t="shared" si="0"/>
        <v>1471295.8787998895</v>
      </c>
    </row>
    <row r="69" spans="1:16" collapsed="1" x14ac:dyDescent="0.2"/>
    <row r="71" spans="1:16" ht="21" x14ac:dyDescent="0.25">
      <c r="A71" s="84" t="s">
        <v>373</v>
      </c>
    </row>
    <row r="73" spans="1:16" ht="15" hidden="1" outlineLevel="1" x14ac:dyDescent="0.2">
      <c r="A73" s="185" t="str">
        <f ca="1">PXL(ITEM(_Criteres(LIST(ITEM(_Data(LIST(ITEM(_Fonction("Somme"),_Code("MONTANT"),_Libelle("Montant")))),_PeriodeDebut(1),_affectationUF(TRUE),_Visible(TRUE),_Domaine("QUERY_VMSCINDIRECTES"),_Type(3),_PeriodeFin(13),_ID("202012031131517"),_TypeColonne("Annee"),_ChampDate("DATEDEBUTMOUVEMENT"),_AnneeFin($B$3),_Total("CALC"),_AnneeDebut($B$3),_NomColonne("Ch Ind #ANNEED")))),_Conditions(LIST(ITEM(_LibelleStructure("UF"),_Index(0),_Valeur($B$4),_Operateur("ET"),_TypeCondition("REQ_UF.CODE"),_OperateurComparaison("=")),ITEM(_LibelleStructure("SC"),_Index(1),_Valeur("P Hémato","P Hémato-Oncologie"),_Operateur("ET"),_TypeCondition("REQ_SC.CODE"),_OperateurComparaison("=")))),_ListDimensionDetail(LIST(ITEM(_LibelleStructure("SC"),_Visible(TRUE),_OptionsComplementaires(LIST("Origine","Producteur")),_Structure("REQ_SC.CODE"),_Options("Code"),_Taille(0)))),_Format(ITEM(_SepMilliers(" "),_NbDecimal(2),_SepDecimal(","))),_ListDimensionColonne(LIST(ITEM(_LibelleStructure("UF"),_Visible(TRUE),_OptionsComplementaires(LIST("Destination","Consommateur")),_Structure("REQ_UF.CODE"),_Options("Code"),_Taille(0)),ITEM(_LibelleStructure("UF"),_Visible(TRUE),_OptionsComplementaires(LIST("Destination","Consommateur")),_Structure("REQ_UF.CODE"),_Options("Libellé"),_Taille(0)))),_Version(2)),A73:F125,"")</f>
        <v/>
      </c>
      <c r="B73" s="176" t="s">
        <v>56</v>
      </c>
      <c r="C73" s="177" t="s">
        <v>68</v>
      </c>
      <c r="D73" s="177" t="s">
        <v>70</v>
      </c>
      <c r="E73" s="177" t="s">
        <v>57</v>
      </c>
      <c r="F73" s="113"/>
      <c r="G73" s="116"/>
      <c r="H73" s="75"/>
      <c r="I73" s="75"/>
      <c r="J73" s="116"/>
      <c r="K73" s="116"/>
      <c r="L73" s="116"/>
      <c r="M73" s="116"/>
      <c r="N73" s="116"/>
      <c r="O73" s="116"/>
    </row>
    <row r="74" spans="1:16" hidden="1" outlineLevel="1" x14ac:dyDescent="0.2">
      <c r="A74" s="178" t="s">
        <v>74</v>
      </c>
      <c r="B74" s="178" t="s">
        <v>58</v>
      </c>
      <c r="C74" s="179" t="s">
        <v>78</v>
      </c>
      <c r="D74" s="179" t="s">
        <v>80</v>
      </c>
      <c r="E74" s="179" t="s">
        <v>59</v>
      </c>
      <c r="F74" s="179" t="s">
        <v>84</v>
      </c>
      <c r="G74" s="116"/>
      <c r="H74" s="75"/>
      <c r="I74" s="75"/>
      <c r="J74" s="116"/>
      <c r="K74" s="116"/>
      <c r="L74" s="116"/>
      <c r="M74" s="116"/>
      <c r="N74" s="116"/>
      <c r="O74" s="116"/>
    </row>
    <row r="75" spans="1:16" hidden="1" outlineLevel="1" x14ac:dyDescent="0.2">
      <c r="A75" s="172" t="s">
        <v>86</v>
      </c>
      <c r="B75" s="181">
        <v>60900.61900054515</v>
      </c>
      <c r="C75" s="181">
        <v>216.45885126135033</v>
      </c>
      <c r="D75" s="181">
        <v>184.40526896616825</v>
      </c>
      <c r="E75" s="181">
        <v>4933.7727442847527</v>
      </c>
      <c r="F75" s="181">
        <v>66235.255865057421</v>
      </c>
      <c r="G75" s="116"/>
      <c r="H75" s="75"/>
      <c r="I75" s="75"/>
      <c r="J75" s="116"/>
      <c r="K75" s="116"/>
      <c r="L75" s="116"/>
      <c r="M75" s="116"/>
      <c r="N75" s="116"/>
      <c r="O75" s="116"/>
    </row>
    <row r="76" spans="1:16" hidden="1" outlineLevel="1" x14ac:dyDescent="0.2">
      <c r="A76" s="172" t="s">
        <v>87</v>
      </c>
      <c r="B76" s="181">
        <v>34978.034894293407</v>
      </c>
      <c r="C76" s="181">
        <v>124.3223037278226</v>
      </c>
      <c r="D76" s="181">
        <v>105.91245275409197</v>
      </c>
      <c r="E76" s="181">
        <v>2833.6932865749859</v>
      </c>
      <c r="F76" s="181">
        <v>38041.962937350305</v>
      </c>
      <c r="G76" s="116"/>
      <c r="H76" s="75"/>
      <c r="I76" s="75"/>
      <c r="J76" s="116"/>
      <c r="K76" s="116"/>
      <c r="L76" s="116"/>
      <c r="M76" s="116"/>
      <c r="N76" s="116"/>
      <c r="O76" s="116"/>
    </row>
    <row r="77" spans="1:16" hidden="1" outlineLevel="1" x14ac:dyDescent="0.2">
      <c r="A77" s="172" t="s">
        <v>88</v>
      </c>
      <c r="B77" s="181">
        <v>61693.031445910601</v>
      </c>
      <c r="C77" s="116"/>
      <c r="D77" s="116"/>
      <c r="E77" s="181">
        <v>4118.2593872554226</v>
      </c>
      <c r="F77" s="181">
        <v>65811.290833166029</v>
      </c>
      <c r="G77" s="116"/>
      <c r="H77" s="75"/>
      <c r="I77" s="75"/>
      <c r="J77" s="116"/>
      <c r="K77" s="116"/>
      <c r="L77" s="116"/>
      <c r="M77" s="116"/>
      <c r="N77" s="116"/>
      <c r="O77" s="116"/>
    </row>
    <row r="78" spans="1:16" hidden="1" outlineLevel="1" x14ac:dyDescent="0.2">
      <c r="A78" s="172" t="s">
        <v>89</v>
      </c>
      <c r="B78" s="181">
        <v>37158.843777844224</v>
      </c>
      <c r="C78" s="116"/>
      <c r="D78" s="116"/>
      <c r="E78" s="181">
        <v>2480.5031236280497</v>
      </c>
      <c r="F78" s="181">
        <v>39639.34690147228</v>
      </c>
      <c r="G78" s="116"/>
      <c r="H78" s="75"/>
      <c r="I78" s="75"/>
      <c r="J78" s="116"/>
      <c r="K78" s="116"/>
      <c r="L78" s="116"/>
      <c r="M78" s="116"/>
      <c r="N78" s="116"/>
      <c r="O78" s="116"/>
    </row>
    <row r="79" spans="1:16" hidden="1" outlineLevel="1" x14ac:dyDescent="0.2">
      <c r="A79" s="172" t="s">
        <v>91</v>
      </c>
      <c r="B79" s="181">
        <v>1607.3278289204361</v>
      </c>
      <c r="C79" s="116"/>
      <c r="D79" s="116"/>
      <c r="E79" s="181">
        <v>502.2899465376363</v>
      </c>
      <c r="F79" s="181">
        <v>2109.6177754580726</v>
      </c>
      <c r="G79" s="116"/>
      <c r="H79" s="75"/>
      <c r="I79" s="75"/>
      <c r="J79" s="116"/>
      <c r="K79" s="116"/>
      <c r="L79" s="116"/>
      <c r="M79" s="116"/>
      <c r="N79" s="116"/>
      <c r="O79" s="116"/>
    </row>
    <row r="80" spans="1:16" hidden="1" outlineLevel="1" x14ac:dyDescent="0.2">
      <c r="A80" s="172" t="s">
        <v>92</v>
      </c>
      <c r="B80" s="181">
        <v>40.664174353548788</v>
      </c>
      <c r="C80" s="116"/>
      <c r="D80" s="116"/>
      <c r="E80" s="116"/>
      <c r="F80" s="181">
        <v>40.664174353548788</v>
      </c>
      <c r="G80" s="116"/>
      <c r="H80" s="75"/>
      <c r="I80" s="75"/>
      <c r="J80" s="116"/>
      <c r="K80" s="116"/>
      <c r="L80" s="116"/>
      <c r="M80" s="116"/>
      <c r="N80" s="116"/>
      <c r="O80" s="116"/>
    </row>
    <row r="81" spans="1:15" hidden="1" outlineLevel="1" x14ac:dyDescent="0.2">
      <c r="A81" s="172" t="s">
        <v>93</v>
      </c>
      <c r="B81" s="181">
        <v>19.700652069774623</v>
      </c>
      <c r="C81" s="116"/>
      <c r="D81" s="116"/>
      <c r="E81" s="181">
        <v>9.8503260348873116</v>
      </c>
      <c r="F81" s="181">
        <v>29.550978104661937</v>
      </c>
      <c r="G81" s="116"/>
      <c r="H81" s="75"/>
      <c r="I81" s="75"/>
      <c r="J81" s="116"/>
      <c r="K81" s="116"/>
      <c r="L81" s="116"/>
      <c r="M81" s="116"/>
      <c r="N81" s="116"/>
      <c r="O81" s="116"/>
    </row>
    <row r="82" spans="1:15" hidden="1" outlineLevel="1" x14ac:dyDescent="0.2">
      <c r="A82" s="172" t="s">
        <v>97</v>
      </c>
      <c r="B82" s="181">
        <v>5253.41860706437</v>
      </c>
      <c r="C82" s="181">
        <v>18.672206876419065</v>
      </c>
      <c r="D82" s="181">
        <v>15.907195807302163</v>
      </c>
      <c r="E82" s="181">
        <v>425.59786687259361</v>
      </c>
      <c r="F82" s="181">
        <v>5713.595876620685</v>
      </c>
      <c r="G82" s="116"/>
      <c r="H82" s="75"/>
      <c r="I82" s="75"/>
      <c r="J82" s="116"/>
      <c r="K82" s="116"/>
      <c r="L82" s="116"/>
      <c r="M82" s="116"/>
      <c r="N82" s="116"/>
      <c r="O82" s="116"/>
    </row>
    <row r="83" spans="1:15" hidden="1" outlineLevel="1" x14ac:dyDescent="0.2">
      <c r="A83" s="172" t="s">
        <v>94</v>
      </c>
      <c r="B83" s="181">
        <v>764.5692049947628</v>
      </c>
      <c r="C83" s="116"/>
      <c r="D83" s="116"/>
      <c r="E83" s="116"/>
      <c r="F83" s="181">
        <v>764.5692049947628</v>
      </c>
      <c r="G83" s="116"/>
      <c r="H83" s="75"/>
      <c r="I83" s="75"/>
      <c r="J83" s="116"/>
      <c r="K83" s="116"/>
      <c r="L83" s="116"/>
      <c r="M83" s="116"/>
      <c r="N83" s="116"/>
      <c r="O83" s="116"/>
    </row>
    <row r="84" spans="1:15" hidden="1" outlineLevel="1" x14ac:dyDescent="0.2">
      <c r="A84" s="172" t="s">
        <v>98</v>
      </c>
      <c r="B84" s="181">
        <v>1715.7617760437988</v>
      </c>
      <c r="C84" s="181">
        <v>6.0983259148359465</v>
      </c>
      <c r="D84" s="181">
        <v>5.195275794986502</v>
      </c>
      <c r="E84" s="181">
        <v>138.9998792336531</v>
      </c>
      <c r="F84" s="181">
        <v>1866.0552569872743</v>
      </c>
      <c r="G84" s="116"/>
      <c r="H84" s="75"/>
      <c r="I84" s="75"/>
      <c r="J84" s="116"/>
      <c r="K84" s="116"/>
      <c r="L84" s="116"/>
      <c r="M84" s="116"/>
      <c r="N84" s="116"/>
      <c r="O84" s="116"/>
    </row>
    <row r="85" spans="1:15" hidden="1" outlineLevel="1" x14ac:dyDescent="0.2">
      <c r="A85" s="172" t="s">
        <v>96</v>
      </c>
      <c r="B85" s="182">
        <v>-1090.8909487200049</v>
      </c>
      <c r="C85" s="116"/>
      <c r="D85" s="116"/>
      <c r="E85" s="116"/>
      <c r="F85" s="182">
        <v>-1090.8909487200049</v>
      </c>
      <c r="G85" s="116"/>
      <c r="H85" s="75"/>
      <c r="I85" s="75"/>
      <c r="J85" s="116"/>
      <c r="K85" s="116"/>
      <c r="L85" s="116"/>
      <c r="M85" s="116"/>
      <c r="N85" s="116"/>
      <c r="O85" s="116"/>
    </row>
    <row r="86" spans="1:15" hidden="1" outlineLevel="1" x14ac:dyDescent="0.2">
      <c r="A86" s="172" t="s">
        <v>100</v>
      </c>
      <c r="B86" s="181">
        <v>19436.139915179105</v>
      </c>
      <c r="C86" s="181">
        <v>114.1474299835119</v>
      </c>
      <c r="D86" s="181">
        <v>54.624649045669571</v>
      </c>
      <c r="E86" s="181">
        <v>1850.9999775195504</v>
      </c>
      <c r="F86" s="181">
        <v>21455.911971727837</v>
      </c>
      <c r="G86" s="116"/>
      <c r="H86" s="75"/>
      <c r="I86" s="75"/>
      <c r="J86" s="116"/>
      <c r="K86" s="116"/>
      <c r="L86" s="116"/>
      <c r="M86" s="116"/>
      <c r="N86" s="116"/>
      <c r="O86" s="116"/>
    </row>
    <row r="87" spans="1:15" hidden="1" outlineLevel="1" x14ac:dyDescent="0.2">
      <c r="A87" s="172" t="s">
        <v>101</v>
      </c>
      <c r="B87" s="181">
        <v>2557.7387012459876</v>
      </c>
      <c r="C87" s="116"/>
      <c r="D87" s="181">
        <v>3290.7179282563611</v>
      </c>
      <c r="E87" s="181">
        <v>1020.752290162298</v>
      </c>
      <c r="F87" s="181">
        <v>6869.2089196646466</v>
      </c>
      <c r="G87" s="116"/>
      <c r="H87" s="75"/>
      <c r="I87" s="75"/>
      <c r="J87" s="116"/>
      <c r="K87" s="116"/>
      <c r="L87" s="116"/>
      <c r="M87" s="116"/>
      <c r="N87" s="116"/>
      <c r="O87" s="116"/>
    </row>
    <row r="88" spans="1:15" hidden="1" outlineLevel="1" x14ac:dyDescent="0.2">
      <c r="A88" s="172" t="s">
        <v>102</v>
      </c>
      <c r="B88" s="181">
        <v>1112.6377803854132</v>
      </c>
      <c r="C88" s="116"/>
      <c r="D88" s="181">
        <v>1598.3278006901983</v>
      </c>
      <c r="E88" s="181">
        <v>690.00336633086101</v>
      </c>
      <c r="F88" s="181">
        <v>3400.9689474064721</v>
      </c>
      <c r="G88" s="116"/>
      <c r="H88" s="75"/>
      <c r="I88" s="75"/>
      <c r="J88" s="116"/>
      <c r="K88" s="116"/>
      <c r="L88" s="116"/>
      <c r="M88" s="116"/>
      <c r="N88" s="116"/>
      <c r="O88" s="116"/>
    </row>
    <row r="89" spans="1:15" hidden="1" outlineLevel="1" x14ac:dyDescent="0.2">
      <c r="A89" s="172" t="s">
        <v>103</v>
      </c>
      <c r="B89" s="181">
        <v>19712.702312537502</v>
      </c>
      <c r="C89" s="181">
        <v>320.01140117755682</v>
      </c>
      <c r="D89" s="116"/>
      <c r="E89" s="181">
        <v>5760.2052211960236</v>
      </c>
      <c r="F89" s="181">
        <v>25792.918934911082</v>
      </c>
      <c r="G89" s="116"/>
      <c r="H89" s="75"/>
      <c r="I89" s="75"/>
      <c r="J89" s="116"/>
      <c r="K89" s="116"/>
      <c r="L89" s="116"/>
      <c r="M89" s="116"/>
      <c r="N89" s="116"/>
      <c r="O89" s="116"/>
    </row>
    <row r="90" spans="1:15" hidden="1" outlineLevel="1" x14ac:dyDescent="0.2">
      <c r="A90" s="172" t="s">
        <v>104</v>
      </c>
      <c r="B90" s="181">
        <v>22087.793256593333</v>
      </c>
      <c r="C90" s="181">
        <v>78.506564197280085</v>
      </c>
      <c r="D90" s="181">
        <v>66.881183199710193</v>
      </c>
      <c r="E90" s="181">
        <v>1789.409601071563</v>
      </c>
      <c r="F90" s="181">
        <v>24022.590605061887</v>
      </c>
      <c r="G90" s="116"/>
      <c r="H90" s="75"/>
      <c r="I90" s="75"/>
      <c r="J90" s="116"/>
      <c r="K90" s="116"/>
      <c r="L90" s="116"/>
      <c r="M90" s="116"/>
      <c r="N90" s="116"/>
      <c r="O90" s="116"/>
    </row>
    <row r="91" spans="1:15" hidden="1" outlineLevel="1" x14ac:dyDescent="0.2">
      <c r="A91" s="172" t="s">
        <v>110</v>
      </c>
      <c r="B91" s="181">
        <v>1085.4697758700984</v>
      </c>
      <c r="C91" s="116"/>
      <c r="D91" s="116"/>
      <c r="E91" s="116"/>
      <c r="F91" s="181">
        <v>1085.4697758700984</v>
      </c>
      <c r="G91" s="116"/>
      <c r="H91" s="75"/>
      <c r="I91" s="75"/>
      <c r="J91" s="116"/>
      <c r="K91" s="116"/>
      <c r="L91" s="116"/>
      <c r="M91" s="116"/>
      <c r="N91" s="116"/>
      <c r="O91" s="116"/>
    </row>
    <row r="92" spans="1:15" hidden="1" outlineLevel="1" x14ac:dyDescent="0.2">
      <c r="A92" s="172" t="s">
        <v>105</v>
      </c>
      <c r="B92" s="181">
        <v>3557.8974287855035</v>
      </c>
      <c r="C92" s="116"/>
      <c r="D92" s="116"/>
      <c r="E92" s="181">
        <v>578.7203726397945</v>
      </c>
      <c r="F92" s="181">
        <v>4136.6178014252982</v>
      </c>
      <c r="G92" s="116"/>
      <c r="H92" s="75"/>
      <c r="I92" s="75"/>
      <c r="J92" s="116"/>
      <c r="K92" s="116"/>
      <c r="L92" s="116"/>
      <c r="M92" s="116"/>
      <c r="N92" s="116"/>
      <c r="O92" s="116"/>
    </row>
    <row r="93" spans="1:15" hidden="1" outlineLevel="1" x14ac:dyDescent="0.2">
      <c r="A93" s="172" t="s">
        <v>106</v>
      </c>
      <c r="B93" s="181">
        <v>4609.4938159316471</v>
      </c>
      <c r="C93" s="116"/>
      <c r="D93" s="116"/>
      <c r="E93" s="181">
        <v>1021.4019477712765</v>
      </c>
      <c r="F93" s="181">
        <v>5630.8957637029234</v>
      </c>
      <c r="G93" s="116"/>
      <c r="H93" s="75"/>
      <c r="I93" s="75"/>
      <c r="J93" s="116"/>
      <c r="K93" s="116"/>
      <c r="L93" s="116"/>
      <c r="M93" s="116"/>
      <c r="N93" s="116"/>
      <c r="O93" s="116"/>
    </row>
    <row r="94" spans="1:15" hidden="1" outlineLevel="1" x14ac:dyDescent="0.2">
      <c r="A94" s="172" t="s">
        <v>107</v>
      </c>
      <c r="B94" s="181">
        <v>9158.0147043520556</v>
      </c>
      <c r="C94" s="116"/>
      <c r="D94" s="116"/>
      <c r="E94" s="181">
        <v>1871.2289660334727</v>
      </c>
      <c r="F94" s="181">
        <v>11029.243670385527</v>
      </c>
      <c r="G94" s="116"/>
      <c r="H94" s="75"/>
      <c r="I94" s="75"/>
      <c r="J94" s="116"/>
      <c r="K94" s="116"/>
      <c r="L94" s="116"/>
      <c r="M94" s="116"/>
      <c r="N94" s="116"/>
      <c r="O94" s="116"/>
    </row>
    <row r="95" spans="1:15" hidden="1" outlineLevel="1" x14ac:dyDescent="0.2">
      <c r="A95" s="172" t="s">
        <v>108</v>
      </c>
      <c r="B95" s="181">
        <v>13076.93669891633</v>
      </c>
      <c r="C95" s="116"/>
      <c r="D95" s="116"/>
      <c r="E95" s="181">
        <v>2118.312804716903</v>
      </c>
      <c r="F95" s="181">
        <v>15195.249503633233</v>
      </c>
      <c r="G95" s="116"/>
      <c r="H95" s="75"/>
      <c r="I95" s="75"/>
      <c r="J95" s="116"/>
      <c r="K95" s="116"/>
      <c r="L95" s="116"/>
      <c r="M95" s="116"/>
      <c r="N95" s="116"/>
      <c r="O95" s="116"/>
    </row>
    <row r="96" spans="1:15" hidden="1" outlineLevel="1" x14ac:dyDescent="0.2">
      <c r="A96" s="172" t="s">
        <v>109</v>
      </c>
      <c r="B96" s="181">
        <v>25778.023687466994</v>
      </c>
      <c r="C96" s="116"/>
      <c r="D96" s="116"/>
      <c r="E96" s="181">
        <v>3772.3937103610238</v>
      </c>
      <c r="F96" s="181">
        <v>29550.41739782802</v>
      </c>
      <c r="G96" s="116"/>
      <c r="H96" s="75"/>
      <c r="I96" s="75"/>
      <c r="J96" s="116"/>
      <c r="K96" s="116"/>
      <c r="L96" s="116"/>
      <c r="M96" s="116"/>
      <c r="N96" s="116"/>
      <c r="O96" s="116"/>
    </row>
    <row r="97" spans="1:15" hidden="1" outlineLevel="1" x14ac:dyDescent="0.2">
      <c r="A97" s="172" t="s">
        <v>111</v>
      </c>
      <c r="B97" s="181">
        <v>3326.0741496719979</v>
      </c>
      <c r="C97" s="181">
        <v>3313.9579004312909</v>
      </c>
      <c r="D97" s="181">
        <v>2841.0967138480119</v>
      </c>
      <c r="E97" s="181">
        <v>3140.400816713051</v>
      </c>
      <c r="F97" s="181">
        <v>12621.529580664352</v>
      </c>
      <c r="G97" s="116"/>
      <c r="H97" s="75"/>
      <c r="I97" s="75"/>
      <c r="J97" s="116"/>
      <c r="K97" s="116"/>
      <c r="L97" s="116"/>
      <c r="M97" s="116"/>
      <c r="N97" s="116"/>
      <c r="O97" s="116"/>
    </row>
    <row r="98" spans="1:15" hidden="1" outlineLevel="1" x14ac:dyDescent="0.2">
      <c r="A98" s="172" t="s">
        <v>112</v>
      </c>
      <c r="B98" s="181">
        <v>37395.643539690667</v>
      </c>
      <c r="C98" s="181">
        <v>14462.14423546806</v>
      </c>
      <c r="D98" s="181">
        <v>49598.820719367861</v>
      </c>
      <c r="E98" s="181">
        <v>27771.79158280425</v>
      </c>
      <c r="F98" s="181">
        <v>129228.40007733084</v>
      </c>
      <c r="G98" s="116"/>
      <c r="H98" s="75"/>
      <c r="I98" s="75"/>
      <c r="J98" s="116"/>
      <c r="K98" s="116"/>
      <c r="L98" s="116"/>
      <c r="M98" s="116"/>
      <c r="N98" s="116"/>
      <c r="O98" s="116"/>
    </row>
    <row r="99" spans="1:15" hidden="1" outlineLevel="1" x14ac:dyDescent="0.2">
      <c r="A99" s="172" t="s">
        <v>113</v>
      </c>
      <c r="B99" s="181">
        <v>14345.369385021395</v>
      </c>
      <c r="C99" s="116"/>
      <c r="D99" s="116"/>
      <c r="E99" s="181">
        <v>1520.1894010224332</v>
      </c>
      <c r="F99" s="181">
        <v>15865.558786043828</v>
      </c>
      <c r="G99" s="116"/>
      <c r="H99" s="75"/>
      <c r="I99" s="75"/>
      <c r="J99" s="116"/>
      <c r="K99" s="116"/>
      <c r="L99" s="116"/>
      <c r="M99" s="116"/>
      <c r="N99" s="116"/>
      <c r="O99" s="116"/>
    </row>
    <row r="100" spans="1:15" hidden="1" outlineLevel="1" x14ac:dyDescent="0.2">
      <c r="A100" s="172" t="s">
        <v>114</v>
      </c>
      <c r="B100" s="175"/>
      <c r="C100" s="181">
        <v>2084.5061602138821</v>
      </c>
      <c r="D100" s="181">
        <v>6413.8651083504064</v>
      </c>
      <c r="E100" s="181">
        <v>1168.2397161638239</v>
      </c>
      <c r="F100" s="181">
        <v>9666.6109847281114</v>
      </c>
      <c r="G100" s="116"/>
      <c r="H100" s="75"/>
      <c r="I100" s="75"/>
      <c r="J100" s="116"/>
      <c r="K100" s="116"/>
      <c r="L100" s="116"/>
      <c r="M100" s="116"/>
      <c r="N100" s="116"/>
      <c r="O100" s="116"/>
    </row>
    <row r="101" spans="1:15" hidden="1" outlineLevel="1" x14ac:dyDescent="0.2">
      <c r="A101" s="172" t="s">
        <v>115</v>
      </c>
      <c r="B101" s="181">
        <v>103848.84095934527</v>
      </c>
      <c r="C101" s="116"/>
      <c r="D101" s="116"/>
      <c r="E101" s="116"/>
      <c r="F101" s="181">
        <v>103848.84095934527</v>
      </c>
      <c r="G101" s="116"/>
      <c r="H101" s="75"/>
      <c r="I101" s="75"/>
      <c r="J101" s="116"/>
      <c r="K101" s="116"/>
      <c r="L101" s="116"/>
      <c r="M101" s="116"/>
      <c r="N101" s="116"/>
      <c r="O101" s="116"/>
    </row>
    <row r="102" spans="1:15" hidden="1" outlineLevel="1" x14ac:dyDescent="0.2">
      <c r="A102" s="172" t="s">
        <v>116</v>
      </c>
      <c r="B102" s="181">
        <v>3705.7385762784475</v>
      </c>
      <c r="C102" s="116"/>
      <c r="D102" s="116"/>
      <c r="E102" s="181">
        <v>567.31110226734654</v>
      </c>
      <c r="F102" s="181">
        <v>4273.0496785457935</v>
      </c>
      <c r="G102" s="116"/>
      <c r="H102" s="75"/>
      <c r="I102" s="75"/>
      <c r="J102" s="116"/>
      <c r="K102" s="116"/>
      <c r="L102" s="116"/>
      <c r="M102" s="116"/>
      <c r="N102" s="116"/>
      <c r="O102" s="116"/>
    </row>
    <row r="103" spans="1:15" hidden="1" outlineLevel="1" x14ac:dyDescent="0.2">
      <c r="A103" s="172" t="s">
        <v>119</v>
      </c>
      <c r="B103" s="181">
        <v>64491.043206602058</v>
      </c>
      <c r="C103" s="116"/>
      <c r="D103" s="116"/>
      <c r="E103" s="181">
        <v>6279.1425669678429</v>
      </c>
      <c r="F103" s="181">
        <v>70770.185773569901</v>
      </c>
      <c r="G103" s="116"/>
      <c r="H103" s="75"/>
      <c r="I103" s="75"/>
      <c r="J103" s="116"/>
      <c r="K103" s="116"/>
      <c r="L103" s="116"/>
      <c r="M103" s="116"/>
      <c r="N103" s="116"/>
      <c r="O103" s="116"/>
    </row>
    <row r="104" spans="1:15" hidden="1" outlineLevel="1" x14ac:dyDescent="0.2">
      <c r="A104" s="172" t="s">
        <v>117</v>
      </c>
      <c r="B104" s="181">
        <v>318681.55531611299</v>
      </c>
      <c r="C104" s="116"/>
      <c r="D104" s="116"/>
      <c r="E104" s="116"/>
      <c r="F104" s="181">
        <v>318681.55531611299</v>
      </c>
      <c r="G104" s="116"/>
      <c r="H104" s="75"/>
      <c r="I104" s="75"/>
      <c r="J104" s="116"/>
      <c r="K104" s="116"/>
      <c r="L104" s="116"/>
      <c r="M104" s="116"/>
      <c r="N104" s="116"/>
      <c r="O104" s="116"/>
    </row>
    <row r="105" spans="1:15" hidden="1" outlineLevel="1" x14ac:dyDescent="0.2">
      <c r="A105" s="172" t="s">
        <v>118</v>
      </c>
      <c r="B105" s="181">
        <v>42126.483130741202</v>
      </c>
      <c r="C105" s="116"/>
      <c r="D105" s="116"/>
      <c r="E105" s="181">
        <v>274.05704638958031</v>
      </c>
      <c r="F105" s="181">
        <v>42400.540177130781</v>
      </c>
      <c r="G105" s="116"/>
      <c r="H105" s="75"/>
      <c r="I105" s="75"/>
      <c r="J105" s="116"/>
      <c r="K105" s="116"/>
      <c r="L105" s="116"/>
      <c r="M105" s="116"/>
      <c r="N105" s="116"/>
      <c r="O105" s="116"/>
    </row>
    <row r="106" spans="1:15" hidden="1" outlineLevel="1" x14ac:dyDescent="0.2">
      <c r="A106" s="172" t="s">
        <v>120</v>
      </c>
      <c r="B106" s="181">
        <v>12527.696349694337</v>
      </c>
      <c r="C106" s="116"/>
      <c r="D106" s="116"/>
      <c r="E106" s="116"/>
      <c r="F106" s="181">
        <v>12527.696349694337</v>
      </c>
      <c r="G106" s="116"/>
      <c r="H106" s="75"/>
      <c r="I106" s="75"/>
      <c r="J106" s="116"/>
      <c r="K106" s="116"/>
      <c r="L106" s="116"/>
      <c r="M106" s="116"/>
      <c r="N106" s="116"/>
      <c r="O106" s="116"/>
    </row>
    <row r="107" spans="1:15" hidden="1" outlineLevel="1" x14ac:dyDescent="0.2">
      <c r="A107" s="172" t="s">
        <v>121</v>
      </c>
      <c r="B107" s="181">
        <v>7487.6072126255922</v>
      </c>
      <c r="C107" s="181">
        <v>121.55206514002585</v>
      </c>
      <c r="D107" s="116"/>
      <c r="E107" s="181">
        <v>2187.9371725204651</v>
      </c>
      <c r="F107" s="181">
        <v>9797.0964502860825</v>
      </c>
      <c r="G107" s="116"/>
      <c r="H107" s="75"/>
      <c r="I107" s="75"/>
      <c r="J107" s="116"/>
      <c r="K107" s="116"/>
      <c r="L107" s="116"/>
      <c r="M107" s="116"/>
      <c r="N107" s="116"/>
      <c r="O107" s="116"/>
    </row>
    <row r="108" spans="1:15" hidden="1" outlineLevel="1" x14ac:dyDescent="0.2">
      <c r="A108" s="172" t="s">
        <v>122</v>
      </c>
      <c r="B108" s="181">
        <v>11439.750831241141</v>
      </c>
      <c r="C108" s="116"/>
      <c r="D108" s="116"/>
      <c r="E108" s="116"/>
      <c r="F108" s="181">
        <v>11439.750831241141</v>
      </c>
      <c r="G108" s="116"/>
      <c r="H108" s="75"/>
      <c r="I108" s="75"/>
      <c r="J108" s="116"/>
      <c r="K108" s="116"/>
      <c r="L108" s="116"/>
      <c r="M108" s="116"/>
      <c r="N108" s="116"/>
      <c r="O108" s="116"/>
    </row>
    <row r="109" spans="1:15" hidden="1" outlineLevel="1" x14ac:dyDescent="0.2">
      <c r="A109" s="172" t="s">
        <v>123</v>
      </c>
      <c r="B109" s="181">
        <v>106096.07888339231</v>
      </c>
      <c r="C109" s="181">
        <v>368.16683981865168</v>
      </c>
      <c r="D109" s="181">
        <v>2016.9139920500049</v>
      </c>
      <c r="E109" s="181">
        <v>11397.164780473044</v>
      </c>
      <c r="F109" s="181">
        <v>119878.32449573402</v>
      </c>
      <c r="G109" s="116"/>
      <c r="H109" s="75"/>
      <c r="I109" s="75"/>
      <c r="J109" s="116"/>
      <c r="K109" s="116"/>
      <c r="L109" s="116"/>
      <c r="M109" s="116"/>
      <c r="N109" s="116"/>
      <c r="O109" s="116"/>
    </row>
    <row r="110" spans="1:15" hidden="1" outlineLevel="1" x14ac:dyDescent="0.2">
      <c r="A110" s="172" t="s">
        <v>124</v>
      </c>
      <c r="B110" s="181">
        <v>170.23156707365015</v>
      </c>
      <c r="C110" s="116"/>
      <c r="D110" s="116"/>
      <c r="E110" s="116"/>
      <c r="F110" s="181">
        <v>170.23156707365015</v>
      </c>
      <c r="G110" s="116"/>
      <c r="H110" s="75"/>
      <c r="I110" s="75"/>
      <c r="J110" s="116"/>
      <c r="K110" s="116"/>
      <c r="L110" s="116"/>
      <c r="M110" s="116"/>
      <c r="N110" s="116"/>
      <c r="O110" s="116"/>
    </row>
    <row r="111" spans="1:15" hidden="1" outlineLevel="1" x14ac:dyDescent="0.2">
      <c r="A111" s="172" t="s">
        <v>125</v>
      </c>
      <c r="B111" s="181">
        <v>52255.801915914089</v>
      </c>
      <c r="C111" s="116"/>
      <c r="D111" s="116"/>
      <c r="E111" s="181">
        <v>6792.7193892744008</v>
      </c>
      <c r="F111" s="181">
        <v>59048.521305188493</v>
      </c>
      <c r="G111" s="116"/>
      <c r="H111" s="75"/>
      <c r="I111" s="75"/>
      <c r="J111" s="116"/>
      <c r="K111" s="116"/>
      <c r="L111" s="116"/>
      <c r="M111" s="116"/>
      <c r="N111" s="116"/>
      <c r="O111" s="116"/>
    </row>
    <row r="112" spans="1:15" hidden="1" outlineLevel="1" x14ac:dyDescent="0.2">
      <c r="A112" s="172" t="s">
        <v>127</v>
      </c>
      <c r="B112" s="181">
        <v>5673.5592254236462</v>
      </c>
      <c r="C112" s="116"/>
      <c r="D112" s="116"/>
      <c r="E112" s="181">
        <v>431.44937075464986</v>
      </c>
      <c r="F112" s="181">
        <v>6105.0085961782961</v>
      </c>
      <c r="G112" s="116"/>
      <c r="H112" s="75"/>
      <c r="I112" s="75"/>
      <c r="J112" s="116"/>
      <c r="K112" s="116"/>
      <c r="L112" s="116"/>
      <c r="M112" s="116"/>
      <c r="N112" s="116"/>
      <c r="O112" s="116"/>
    </row>
    <row r="113" spans="1:15" hidden="1" outlineLevel="1" x14ac:dyDescent="0.2">
      <c r="A113" s="172" t="s">
        <v>128</v>
      </c>
      <c r="B113" s="181">
        <v>673.44729692186922</v>
      </c>
      <c r="C113" s="116"/>
      <c r="D113" s="116"/>
      <c r="E113" s="116"/>
      <c r="F113" s="181">
        <v>673.44729692186922</v>
      </c>
      <c r="G113" s="116"/>
      <c r="H113" s="75"/>
      <c r="I113" s="75"/>
      <c r="J113" s="116"/>
      <c r="K113" s="116"/>
      <c r="L113" s="116"/>
      <c r="M113" s="116"/>
      <c r="N113" s="116"/>
      <c r="O113" s="116"/>
    </row>
    <row r="114" spans="1:15" hidden="1" outlineLevel="1" x14ac:dyDescent="0.2">
      <c r="A114" s="172" t="s">
        <v>129</v>
      </c>
      <c r="B114" s="181">
        <v>1518.7429443394547</v>
      </c>
      <c r="C114" s="116"/>
      <c r="D114" s="116"/>
      <c r="E114" s="116"/>
      <c r="F114" s="181">
        <v>1518.7429443394547</v>
      </c>
      <c r="G114" s="116"/>
      <c r="H114" s="75"/>
      <c r="I114" s="75"/>
      <c r="J114" s="116"/>
      <c r="K114" s="116"/>
      <c r="L114" s="116"/>
      <c r="M114" s="116"/>
      <c r="N114" s="116"/>
      <c r="O114" s="116"/>
    </row>
    <row r="115" spans="1:15" hidden="1" outlineLevel="1" x14ac:dyDescent="0.2">
      <c r="A115" s="172" t="s">
        <v>130</v>
      </c>
      <c r="B115" s="181">
        <v>16056.550059966909</v>
      </c>
      <c r="C115" s="116"/>
      <c r="D115" s="116"/>
      <c r="E115" s="181">
        <v>2399.6417236972043</v>
      </c>
      <c r="F115" s="181">
        <v>18456.191783664111</v>
      </c>
      <c r="G115" s="116"/>
      <c r="H115" s="75"/>
      <c r="I115" s="75"/>
      <c r="J115" s="116"/>
      <c r="K115" s="116"/>
      <c r="L115" s="116"/>
      <c r="M115" s="116"/>
      <c r="N115" s="116"/>
      <c r="O115" s="116"/>
    </row>
    <row r="116" spans="1:15" hidden="1" outlineLevel="1" x14ac:dyDescent="0.2">
      <c r="A116" s="172" t="s">
        <v>131</v>
      </c>
      <c r="B116" s="181">
        <v>10981.718632548163</v>
      </c>
      <c r="C116" s="116"/>
      <c r="D116" s="116"/>
      <c r="E116" s="181">
        <v>1909.8641100083764</v>
      </c>
      <c r="F116" s="181">
        <v>12891.58274255654</v>
      </c>
      <c r="G116" s="116"/>
      <c r="H116" s="75"/>
      <c r="I116" s="75"/>
      <c r="J116" s="116"/>
      <c r="K116" s="116"/>
      <c r="L116" s="116"/>
      <c r="M116" s="116"/>
      <c r="N116" s="116"/>
      <c r="O116" s="116"/>
    </row>
    <row r="117" spans="1:15" hidden="1" outlineLevel="1" x14ac:dyDescent="0.2">
      <c r="A117" s="172" t="s">
        <v>132</v>
      </c>
      <c r="B117" s="181">
        <v>584.41590536790056</v>
      </c>
      <c r="C117" s="116"/>
      <c r="D117" s="116"/>
      <c r="E117" s="116"/>
      <c r="F117" s="181">
        <v>584.41590536790056</v>
      </c>
      <c r="G117" s="116"/>
      <c r="H117" s="75"/>
      <c r="I117" s="75"/>
      <c r="J117" s="116"/>
      <c r="K117" s="116"/>
      <c r="L117" s="116"/>
      <c r="M117" s="116"/>
      <c r="N117" s="116"/>
      <c r="O117" s="116"/>
    </row>
    <row r="118" spans="1:15" hidden="1" outlineLevel="1" x14ac:dyDescent="0.2">
      <c r="A118" s="172" t="s">
        <v>133</v>
      </c>
      <c r="B118" s="181">
        <v>6797.3368858537269</v>
      </c>
      <c r="C118" s="116"/>
      <c r="D118" s="116"/>
      <c r="E118" s="116"/>
      <c r="F118" s="181">
        <v>6797.3368858537269</v>
      </c>
      <c r="G118" s="116"/>
      <c r="H118" s="75"/>
      <c r="I118" s="75"/>
      <c r="J118" s="116"/>
      <c r="K118" s="116"/>
      <c r="L118" s="116"/>
      <c r="M118" s="116"/>
      <c r="N118" s="116"/>
      <c r="O118" s="116"/>
    </row>
    <row r="119" spans="1:15" hidden="1" outlineLevel="1" x14ac:dyDescent="0.2">
      <c r="A119" s="172" t="s">
        <v>134</v>
      </c>
      <c r="B119" s="181">
        <v>2434.8016646735496</v>
      </c>
      <c r="C119" s="116"/>
      <c r="D119" s="116"/>
      <c r="E119" s="181">
        <v>894.60515709596325</v>
      </c>
      <c r="F119" s="181">
        <v>3329.406821769513</v>
      </c>
      <c r="G119" s="116"/>
      <c r="H119" s="75"/>
      <c r="I119" s="75"/>
      <c r="J119" s="116"/>
      <c r="K119" s="116"/>
      <c r="L119" s="116"/>
      <c r="M119" s="116"/>
      <c r="N119" s="116"/>
      <c r="O119" s="116"/>
    </row>
    <row r="120" spans="1:15" hidden="1" outlineLevel="1" x14ac:dyDescent="0.2">
      <c r="A120" s="172" t="s">
        <v>135</v>
      </c>
      <c r="B120" s="181">
        <v>16874.559932469576</v>
      </c>
      <c r="C120" s="116"/>
      <c r="D120" s="116"/>
      <c r="E120" s="181">
        <v>1242.1999185469954</v>
      </c>
      <c r="F120" s="181">
        <v>18116.75985101657</v>
      </c>
      <c r="G120" s="116"/>
      <c r="H120" s="75"/>
      <c r="I120" s="75"/>
      <c r="J120" s="116"/>
      <c r="K120" s="116"/>
      <c r="L120" s="116"/>
      <c r="M120" s="116"/>
      <c r="N120" s="116"/>
      <c r="O120" s="116"/>
    </row>
    <row r="121" spans="1:15" hidden="1" outlineLevel="1" x14ac:dyDescent="0.2">
      <c r="A121" s="172" t="s">
        <v>136</v>
      </c>
      <c r="B121" s="181">
        <v>646.91649266100126</v>
      </c>
      <c r="C121" s="181">
        <v>1571.7674784652475</v>
      </c>
      <c r="D121" s="181">
        <v>3892.9996936133139</v>
      </c>
      <c r="E121" s="181">
        <v>1193.2015309080689</v>
      </c>
      <c r="F121" s="181">
        <v>7304.8851956476319</v>
      </c>
      <c r="G121" s="116"/>
      <c r="H121" s="75"/>
      <c r="I121" s="75"/>
      <c r="J121" s="116"/>
      <c r="K121" s="116"/>
      <c r="L121" s="116"/>
      <c r="M121" s="116"/>
      <c r="N121" s="116"/>
      <c r="O121" s="116"/>
    </row>
    <row r="122" spans="1:15" hidden="1" outlineLevel="1" x14ac:dyDescent="0.2">
      <c r="A122" s="172" t="s">
        <v>139</v>
      </c>
      <c r="B122" s="182">
        <v>-407.07843627573629</v>
      </c>
      <c r="C122" s="182">
        <v>-3.4854886796642113</v>
      </c>
      <c r="D122" s="182">
        <v>-14.684368499363583</v>
      </c>
      <c r="E122" s="182">
        <v>-73.160585431226224</v>
      </c>
      <c r="F122" s="182">
        <v>-498.4088788859903</v>
      </c>
      <c r="G122" s="116"/>
      <c r="H122" s="75"/>
      <c r="I122" s="75"/>
      <c r="J122" s="116"/>
      <c r="K122" s="116"/>
      <c r="L122" s="116"/>
      <c r="M122" s="116"/>
      <c r="N122" s="116"/>
      <c r="O122" s="116"/>
    </row>
    <row r="123" spans="1:15" hidden="1" outlineLevel="1" x14ac:dyDescent="0.2">
      <c r="A123" s="172" t="s">
        <v>141</v>
      </c>
      <c r="B123" s="181">
        <v>96077.452809884635</v>
      </c>
      <c r="C123" s="181">
        <v>341.48774525851803</v>
      </c>
      <c r="D123" s="181">
        <v>290.91967894172831</v>
      </c>
      <c r="E123" s="181">
        <v>7783.5714282225954</v>
      </c>
      <c r="F123" s="181">
        <v>104493.43166230747</v>
      </c>
      <c r="G123" s="116"/>
      <c r="H123" s="75"/>
      <c r="I123" s="75"/>
      <c r="J123" s="116"/>
      <c r="K123" s="116"/>
      <c r="L123" s="116"/>
      <c r="M123" s="116"/>
      <c r="N123" s="116"/>
      <c r="O123" s="116"/>
    </row>
    <row r="124" spans="1:15" hidden="1" outlineLevel="1" x14ac:dyDescent="0.2">
      <c r="A124" s="172" t="s">
        <v>142</v>
      </c>
      <c r="B124" s="181">
        <v>3974.6735140007572</v>
      </c>
      <c r="C124" s="116"/>
      <c r="D124" s="116"/>
      <c r="E124" s="116"/>
      <c r="F124" s="181">
        <v>3974.6735140007572</v>
      </c>
      <c r="G124" s="116"/>
      <c r="H124" s="75"/>
      <c r="I124" s="75"/>
      <c r="J124" s="116"/>
      <c r="K124" s="116"/>
      <c r="L124" s="116"/>
      <c r="M124" s="116"/>
      <c r="N124" s="116"/>
      <c r="O124" s="116"/>
    </row>
    <row r="125" spans="1:15" hidden="1" outlineLevel="1" x14ac:dyDescent="0.2">
      <c r="A125" s="104" t="s">
        <v>354</v>
      </c>
      <c r="B125" s="183">
        <v>1264998.9404418247</v>
      </c>
      <c r="C125" s="183">
        <v>23138.314019254791</v>
      </c>
      <c r="D125" s="183">
        <v>70361.903292186442</v>
      </c>
      <c r="E125" s="183">
        <v>112796.72104662361</v>
      </c>
      <c r="F125" s="183">
        <v>1471295.8787998895</v>
      </c>
      <c r="G125" s="116"/>
      <c r="H125" s="116"/>
      <c r="I125" s="116"/>
      <c r="J125" s="116"/>
      <c r="K125" s="116"/>
      <c r="L125" s="116"/>
      <c r="M125" s="116"/>
      <c r="N125" s="116"/>
      <c r="O125" s="116"/>
    </row>
    <row r="126" spans="1:15" ht="21" collapsed="1" x14ac:dyDescent="0.25">
      <c r="A126" s="84" t="s">
        <v>374</v>
      </c>
      <c r="B126" s="183"/>
      <c r="C126" s="183"/>
      <c r="D126" s="183"/>
      <c r="E126" s="183"/>
      <c r="F126" s="183"/>
      <c r="G126" s="116"/>
      <c r="H126" s="116"/>
      <c r="I126" s="116"/>
      <c r="J126" s="116"/>
      <c r="K126" s="116"/>
      <c r="L126" s="116"/>
      <c r="M126" s="116"/>
      <c r="N126" s="116"/>
      <c r="O126" s="116"/>
    </row>
    <row r="127" spans="1:15" x14ac:dyDescent="0.2">
      <c r="A127" s="104"/>
      <c r="B127" s="183"/>
      <c r="C127" s="183"/>
      <c r="D127" s="183"/>
      <c r="E127" s="183"/>
      <c r="F127" s="183"/>
      <c r="G127" s="116"/>
      <c r="H127" s="116"/>
      <c r="I127" s="116"/>
      <c r="J127" s="116"/>
      <c r="K127" s="116"/>
      <c r="L127" s="116"/>
      <c r="M127" s="116"/>
      <c r="N127" s="116"/>
      <c r="O127" s="116"/>
    </row>
    <row r="128" spans="1:15" ht="15" outlineLevel="1" x14ac:dyDescent="0.2">
      <c r="A128" s="185" t="str">
        <f ca="1">PXL(ITEM(_Criteres(LIST(ITEM(_Data(LIST(ITEM(_Fonction("Somme"),_Code("MONTANT"),_Libelle("Montant")))),_PeriodeDebut(1),_affectationUF(TRUE),_Visible(TRUE),_Domaine("QUERY_VMSCINDIRECTES"),_Type(3),_PeriodeFin(13),_ID("2020161740"),_TypeColonne("Annee"),_ChampDate("DATEDEBUTMOUVEMENT"),_AnneeFin($B$3),_Total("CALC"),_AnneeDebut($B$3),_NomColonne("Ch Ind #ANNEED")))),_Conditions(LIST(ITEM(_LibelleStructure("UF"),_Index(0),_Valeur($B$4),_Operateur("ET"),_TypeCondition("REQ_UF.CODE"),_OperateurComparaison("=")),ITEM(_LibelleStructure("SC"),_Index(1),_Valeur("P Hémato","P Hémato-Oncologie"),_Operateur("ET"),_TypeCondition("REQ_SC.CODE"),_OperateurComparaison("=")))),_ListDimensionDetail(LIST(ITEM(_LibelleStructure("SC"),_Visible(TRUE),_OptionsComplementaires(LIST("Origine","Producteur")),_Structure("REQ_SC.CODE"),_Options("Code"),_Taille(0)))),_Format(ITEM(_SepMilliers(" "),_NbDecimal(2),_SepDecimal(","))),_Tri(LIST(ITEM(_Sens("Croissant"),_Colonne("RGP209944350.CODE"),_Champ("CODE")))),_ListDimensionGroupe(LIST(ITEM(_LibelleStructure("RGP_SC_TypeSA"),_Visible(TRUE),_OptionsComplementaires(LIST("Origine","Producteur")),_Structure("RGP209944350.CODE"),_Options("Code"),_Taille(0)))),_Version(2)),A128:B187,"SC")</f>
        <v>SC</v>
      </c>
      <c r="B128" s="179" t="s">
        <v>355</v>
      </c>
      <c r="C128" s="183"/>
      <c r="D128" s="183"/>
      <c r="E128" s="183"/>
      <c r="F128" s="183"/>
      <c r="G128" s="116"/>
      <c r="H128" s="116"/>
      <c r="I128" s="116"/>
      <c r="J128" s="116"/>
      <c r="K128" s="116"/>
      <c r="L128" s="116"/>
      <c r="M128" s="116"/>
      <c r="N128" s="116"/>
      <c r="O128" s="116"/>
    </row>
    <row r="129" spans="1:15" outlineLevel="1" x14ac:dyDescent="0.2">
      <c r="A129" s="855" t="s">
        <v>356</v>
      </c>
      <c r="B129" s="856"/>
      <c r="C129" s="116"/>
      <c r="D129" s="116"/>
      <c r="E129" s="116"/>
      <c r="F129" s="116"/>
      <c r="G129" s="116"/>
      <c r="H129" s="116"/>
      <c r="I129" s="116"/>
      <c r="J129" s="116"/>
      <c r="K129" s="116"/>
      <c r="L129" s="116"/>
      <c r="M129" s="116"/>
      <c r="N129" s="116"/>
      <c r="O129" s="116"/>
    </row>
    <row r="130" spans="1:15" outlineLevel="1" x14ac:dyDescent="0.2">
      <c r="A130" s="173" t="s">
        <v>100</v>
      </c>
      <c r="B130" s="111">
        <v>21455.911971727837</v>
      </c>
      <c r="C130" s="116"/>
      <c r="D130" s="116"/>
      <c r="E130" s="116"/>
      <c r="F130" s="116"/>
      <c r="G130" s="116"/>
      <c r="H130" s="116"/>
      <c r="I130" s="116"/>
      <c r="J130" s="116"/>
      <c r="K130" s="116"/>
      <c r="L130" s="116"/>
      <c r="M130" s="116"/>
      <c r="N130" s="116"/>
      <c r="O130" s="116"/>
    </row>
    <row r="131" spans="1:15" outlineLevel="1" x14ac:dyDescent="0.2">
      <c r="A131" s="179" t="s">
        <v>357</v>
      </c>
      <c r="B131" s="112">
        <v>21455.911971727837</v>
      </c>
      <c r="C131" s="116"/>
      <c r="D131" s="116"/>
      <c r="E131" s="75"/>
      <c r="F131" s="75"/>
      <c r="G131" s="116"/>
      <c r="H131" s="116"/>
      <c r="I131" s="116"/>
      <c r="J131" s="116"/>
      <c r="K131" s="116"/>
      <c r="L131" s="116"/>
      <c r="M131" s="116"/>
      <c r="N131" s="116"/>
      <c r="O131" s="116"/>
    </row>
    <row r="132" spans="1:15" outlineLevel="1" x14ac:dyDescent="0.2">
      <c r="A132" s="855" t="s">
        <v>358</v>
      </c>
      <c r="B132" s="857"/>
      <c r="C132" s="116"/>
      <c r="D132" s="116"/>
      <c r="E132" s="75"/>
      <c r="F132" s="75"/>
      <c r="G132" s="116"/>
      <c r="H132" s="116"/>
      <c r="I132" s="116"/>
      <c r="J132" s="116"/>
      <c r="K132" s="116"/>
      <c r="L132" s="116"/>
      <c r="M132" s="116"/>
      <c r="N132" s="116"/>
      <c r="O132" s="116"/>
    </row>
    <row r="133" spans="1:15" outlineLevel="1" x14ac:dyDescent="0.2">
      <c r="A133" s="173" t="s">
        <v>86</v>
      </c>
      <c r="B133" s="111">
        <v>66235.255865057421</v>
      </c>
      <c r="C133" s="116"/>
      <c r="D133" s="116"/>
      <c r="E133" s="75"/>
      <c r="F133" s="75"/>
      <c r="G133" s="116"/>
      <c r="H133" s="116"/>
      <c r="I133" s="116"/>
      <c r="J133" s="116"/>
      <c r="K133" s="116"/>
      <c r="L133" s="116"/>
      <c r="M133" s="116"/>
      <c r="N133" s="116"/>
      <c r="O133" s="116"/>
    </row>
    <row r="134" spans="1:15" outlineLevel="1" x14ac:dyDescent="0.2">
      <c r="A134" s="173" t="s">
        <v>87</v>
      </c>
      <c r="B134" s="111">
        <v>38041.962937350305</v>
      </c>
      <c r="C134" s="116"/>
      <c r="D134" s="116"/>
      <c r="E134" s="75"/>
      <c r="F134" s="75"/>
      <c r="G134" s="116"/>
      <c r="H134" s="116"/>
      <c r="I134" s="116"/>
      <c r="J134" s="116"/>
      <c r="K134" s="116"/>
      <c r="L134" s="116"/>
      <c r="M134" s="116"/>
      <c r="N134" s="116"/>
      <c r="O134" s="116"/>
    </row>
    <row r="135" spans="1:15" outlineLevel="1" x14ac:dyDescent="0.2">
      <c r="A135" s="173" t="s">
        <v>88</v>
      </c>
      <c r="B135" s="111">
        <v>65811.290833166029</v>
      </c>
      <c r="C135" s="116"/>
      <c r="D135" s="116"/>
      <c r="E135" s="75"/>
      <c r="F135" s="75"/>
      <c r="G135" s="116"/>
      <c r="H135" s="116"/>
      <c r="I135" s="116"/>
      <c r="J135" s="116"/>
      <c r="K135" s="116"/>
      <c r="L135" s="116"/>
      <c r="M135" s="116"/>
      <c r="N135" s="116"/>
      <c r="O135" s="116"/>
    </row>
    <row r="136" spans="1:15" outlineLevel="1" x14ac:dyDescent="0.2">
      <c r="A136" s="173" t="s">
        <v>89</v>
      </c>
      <c r="B136" s="184">
        <v>39639.34690147228</v>
      </c>
      <c r="E136" s="75"/>
      <c r="F136" s="75"/>
    </row>
    <row r="137" spans="1:15" outlineLevel="1" x14ac:dyDescent="0.2">
      <c r="A137" s="173" t="s">
        <v>97</v>
      </c>
      <c r="B137" s="111">
        <v>5713.595876620685</v>
      </c>
      <c r="E137" s="75"/>
      <c r="F137" s="75"/>
    </row>
    <row r="138" spans="1:15" outlineLevel="1" x14ac:dyDescent="0.2">
      <c r="A138" s="173" t="s">
        <v>98</v>
      </c>
      <c r="B138" s="111">
        <v>1866.0552569872743</v>
      </c>
      <c r="E138" s="75"/>
      <c r="F138" s="75"/>
    </row>
    <row r="139" spans="1:15" outlineLevel="1" x14ac:dyDescent="0.2">
      <c r="A139" s="173" t="s">
        <v>104</v>
      </c>
      <c r="B139" s="184">
        <v>24022.590605061887</v>
      </c>
      <c r="E139" s="75"/>
      <c r="F139" s="75"/>
    </row>
    <row r="140" spans="1:15" outlineLevel="1" x14ac:dyDescent="0.2">
      <c r="A140" s="173" t="s">
        <v>113</v>
      </c>
      <c r="B140" s="111">
        <v>15865.558786043828</v>
      </c>
      <c r="E140" s="75"/>
      <c r="F140" s="75"/>
    </row>
    <row r="141" spans="1:15" outlineLevel="1" x14ac:dyDescent="0.2">
      <c r="A141" s="173" t="s">
        <v>114</v>
      </c>
      <c r="B141" s="111">
        <v>9666.6109847281114</v>
      </c>
      <c r="E141" s="75"/>
      <c r="F141" s="75"/>
    </row>
    <row r="142" spans="1:15" outlineLevel="1" x14ac:dyDescent="0.2">
      <c r="A142" s="173" t="s">
        <v>115</v>
      </c>
      <c r="B142" s="111">
        <v>103848.84095934527</v>
      </c>
      <c r="E142" s="75"/>
      <c r="F142" s="75"/>
    </row>
    <row r="143" spans="1:15" outlineLevel="1" x14ac:dyDescent="0.2">
      <c r="A143" s="173" t="s">
        <v>116</v>
      </c>
      <c r="B143" s="111">
        <v>4273.0496785457935</v>
      </c>
      <c r="E143" s="75"/>
      <c r="F143" s="75"/>
    </row>
    <row r="144" spans="1:15" outlineLevel="1" x14ac:dyDescent="0.2">
      <c r="A144" s="173" t="s">
        <v>119</v>
      </c>
      <c r="B144" s="111">
        <v>70770.185773569901</v>
      </c>
      <c r="E144" s="75"/>
      <c r="F144" s="75"/>
    </row>
    <row r="145" spans="1:6" outlineLevel="1" x14ac:dyDescent="0.2">
      <c r="A145" s="173" t="s">
        <v>117</v>
      </c>
      <c r="B145" s="111">
        <v>318681.55531611299</v>
      </c>
      <c r="E145" s="75"/>
      <c r="F145" s="75"/>
    </row>
    <row r="146" spans="1:6" outlineLevel="1" x14ac:dyDescent="0.2">
      <c r="A146" s="173" t="s">
        <v>118</v>
      </c>
      <c r="B146" s="111">
        <v>42400.540177130781</v>
      </c>
      <c r="E146" s="75"/>
      <c r="F146" s="75"/>
    </row>
    <row r="147" spans="1:6" outlineLevel="1" x14ac:dyDescent="0.2">
      <c r="A147" s="173" t="s">
        <v>141</v>
      </c>
      <c r="B147" s="111">
        <v>104493.43166230747</v>
      </c>
      <c r="E147" s="75"/>
      <c r="F147" s="75"/>
    </row>
    <row r="148" spans="1:6" outlineLevel="1" x14ac:dyDescent="0.2">
      <c r="A148" s="179" t="s">
        <v>359</v>
      </c>
      <c r="B148" s="112">
        <v>911329.87161350006</v>
      </c>
      <c r="E148" s="75"/>
      <c r="F148" s="75"/>
    </row>
    <row r="149" spans="1:6" outlineLevel="1" x14ac:dyDescent="0.2">
      <c r="A149" s="855" t="s">
        <v>360</v>
      </c>
      <c r="B149" s="857"/>
      <c r="E149" s="75"/>
      <c r="F149" s="75"/>
    </row>
    <row r="150" spans="1:6" outlineLevel="1" x14ac:dyDescent="0.2">
      <c r="A150" s="173" t="s">
        <v>103</v>
      </c>
      <c r="B150" s="111">
        <v>25792.918934911082</v>
      </c>
      <c r="E150" s="75"/>
      <c r="F150" s="75"/>
    </row>
    <row r="151" spans="1:6" outlineLevel="1" x14ac:dyDescent="0.2">
      <c r="A151" s="173" t="s">
        <v>120</v>
      </c>
      <c r="B151" s="111">
        <v>12527.696349694337</v>
      </c>
      <c r="E151" s="75"/>
      <c r="F151" s="75"/>
    </row>
    <row r="152" spans="1:6" outlineLevel="1" x14ac:dyDescent="0.2">
      <c r="A152" s="173" t="s">
        <v>121</v>
      </c>
      <c r="B152" s="111">
        <v>9797.0964502860825</v>
      </c>
      <c r="E152" s="75"/>
      <c r="F152" s="75"/>
    </row>
    <row r="153" spans="1:6" outlineLevel="1" x14ac:dyDescent="0.2">
      <c r="A153" s="173" t="s">
        <v>122</v>
      </c>
      <c r="B153" s="111">
        <v>11439.750831241141</v>
      </c>
      <c r="E153" s="75"/>
      <c r="F153" s="75"/>
    </row>
    <row r="154" spans="1:6" outlineLevel="1" x14ac:dyDescent="0.2">
      <c r="A154" s="173" t="s">
        <v>123</v>
      </c>
      <c r="B154" s="111">
        <v>119878.32449573402</v>
      </c>
      <c r="E154" s="75"/>
      <c r="F154" s="75"/>
    </row>
    <row r="155" spans="1:6" outlineLevel="1" x14ac:dyDescent="0.2">
      <c r="A155" s="173" t="s">
        <v>124</v>
      </c>
      <c r="B155" s="111">
        <v>170.23156707365015</v>
      </c>
      <c r="E155" s="75"/>
      <c r="F155" s="75"/>
    </row>
    <row r="156" spans="1:6" outlineLevel="1" x14ac:dyDescent="0.2">
      <c r="A156" s="173" t="s">
        <v>125</v>
      </c>
      <c r="B156" s="184">
        <v>59048.521305188493</v>
      </c>
      <c r="E156" s="75"/>
      <c r="F156" s="75"/>
    </row>
    <row r="157" spans="1:6" outlineLevel="1" x14ac:dyDescent="0.2">
      <c r="A157" s="173" t="s">
        <v>139</v>
      </c>
      <c r="B157" s="114">
        <v>-498.4088788859903</v>
      </c>
      <c r="E157" s="75"/>
      <c r="F157" s="75"/>
    </row>
    <row r="158" spans="1:6" outlineLevel="1" x14ac:dyDescent="0.2">
      <c r="A158" s="179" t="s">
        <v>361</v>
      </c>
      <c r="B158" s="112">
        <v>238156.13105524282</v>
      </c>
      <c r="E158" s="75"/>
      <c r="F158" s="75"/>
    </row>
    <row r="159" spans="1:6" outlineLevel="1" x14ac:dyDescent="0.2">
      <c r="A159" s="855" t="s">
        <v>362</v>
      </c>
      <c r="B159" s="857"/>
      <c r="E159" s="75"/>
      <c r="F159" s="75"/>
    </row>
    <row r="160" spans="1:6" outlineLevel="1" x14ac:dyDescent="0.2">
      <c r="A160" s="173" t="s">
        <v>91</v>
      </c>
      <c r="B160" s="111">
        <v>2109.6177754580726</v>
      </c>
      <c r="E160" s="75"/>
      <c r="F160" s="75"/>
    </row>
    <row r="161" spans="1:6" outlineLevel="1" x14ac:dyDescent="0.2">
      <c r="A161" s="173" t="s">
        <v>92</v>
      </c>
      <c r="B161" s="111">
        <v>40.664174353548788</v>
      </c>
      <c r="E161" s="75"/>
      <c r="F161" s="75"/>
    </row>
    <row r="162" spans="1:6" outlineLevel="1" x14ac:dyDescent="0.2">
      <c r="A162" s="173" t="s">
        <v>93</v>
      </c>
      <c r="B162" s="111">
        <v>29.550978104661937</v>
      </c>
      <c r="E162" s="75"/>
      <c r="F162" s="75"/>
    </row>
    <row r="163" spans="1:6" outlineLevel="1" x14ac:dyDescent="0.2">
      <c r="A163" s="173" t="s">
        <v>94</v>
      </c>
      <c r="B163" s="111">
        <v>764.5692049947628</v>
      </c>
      <c r="E163" s="75"/>
      <c r="F163" s="75"/>
    </row>
    <row r="164" spans="1:6" outlineLevel="1" x14ac:dyDescent="0.2">
      <c r="A164" s="173" t="s">
        <v>96</v>
      </c>
      <c r="B164" s="114">
        <v>-1090.8909487200049</v>
      </c>
      <c r="E164" s="75"/>
      <c r="F164" s="75"/>
    </row>
    <row r="165" spans="1:6" outlineLevel="1" x14ac:dyDescent="0.2">
      <c r="A165" s="173" t="s">
        <v>101</v>
      </c>
      <c r="B165" s="111">
        <v>6869.2089196646466</v>
      </c>
      <c r="E165" s="75"/>
      <c r="F165" s="75"/>
    </row>
    <row r="166" spans="1:6" outlineLevel="1" x14ac:dyDescent="0.2">
      <c r="A166" s="173" t="s">
        <v>102</v>
      </c>
      <c r="B166" s="184">
        <v>3400.9689474064721</v>
      </c>
      <c r="E166" s="75"/>
      <c r="F166" s="75"/>
    </row>
    <row r="167" spans="1:6" outlineLevel="1" x14ac:dyDescent="0.2">
      <c r="A167" s="173" t="s">
        <v>110</v>
      </c>
      <c r="B167" s="111">
        <v>1085.4697758700984</v>
      </c>
      <c r="E167" s="75"/>
      <c r="F167" s="75"/>
    </row>
    <row r="168" spans="1:6" outlineLevel="1" x14ac:dyDescent="0.2">
      <c r="A168" s="173" t="s">
        <v>105</v>
      </c>
      <c r="B168" s="111">
        <v>4136.6178014252982</v>
      </c>
      <c r="E168" s="75"/>
      <c r="F168" s="75"/>
    </row>
    <row r="169" spans="1:6" outlineLevel="1" x14ac:dyDescent="0.2">
      <c r="A169" s="173" t="s">
        <v>106</v>
      </c>
      <c r="B169" s="111">
        <v>5630.8957637029234</v>
      </c>
      <c r="E169" s="75"/>
      <c r="F169" s="75"/>
    </row>
    <row r="170" spans="1:6" outlineLevel="1" x14ac:dyDescent="0.2">
      <c r="A170" s="173" t="s">
        <v>107</v>
      </c>
      <c r="B170" s="111">
        <v>11029.243670385527</v>
      </c>
      <c r="E170" s="75"/>
      <c r="F170" s="75"/>
    </row>
    <row r="171" spans="1:6" outlineLevel="1" x14ac:dyDescent="0.2">
      <c r="A171" s="173" t="s">
        <v>108</v>
      </c>
      <c r="B171" s="111">
        <v>15195.249503633233</v>
      </c>
      <c r="E171" s="75"/>
      <c r="F171" s="75"/>
    </row>
    <row r="172" spans="1:6" outlineLevel="1" x14ac:dyDescent="0.2">
      <c r="A172" s="173" t="s">
        <v>109</v>
      </c>
      <c r="B172" s="111">
        <v>29550.41739782802</v>
      </c>
      <c r="E172" s="75"/>
      <c r="F172" s="75"/>
    </row>
    <row r="173" spans="1:6" outlineLevel="1" x14ac:dyDescent="0.2">
      <c r="A173" s="173" t="s">
        <v>111</v>
      </c>
      <c r="B173" s="111">
        <v>12621.529580664352</v>
      </c>
      <c r="E173" s="75"/>
      <c r="F173" s="75"/>
    </row>
    <row r="174" spans="1:6" outlineLevel="1" x14ac:dyDescent="0.2">
      <c r="A174" s="173" t="s">
        <v>112</v>
      </c>
      <c r="B174" s="111">
        <v>129228.40007733084</v>
      </c>
      <c r="E174" s="75"/>
      <c r="F174" s="75"/>
    </row>
    <row r="175" spans="1:6" outlineLevel="1" x14ac:dyDescent="0.2">
      <c r="A175" s="173" t="s">
        <v>127</v>
      </c>
      <c r="B175" s="111">
        <v>6105.0085961782961</v>
      </c>
      <c r="E175" s="75"/>
      <c r="F175" s="75"/>
    </row>
    <row r="176" spans="1:6" outlineLevel="1" x14ac:dyDescent="0.2">
      <c r="A176" s="173" t="s">
        <v>128</v>
      </c>
      <c r="B176" s="111">
        <v>673.44729692186922</v>
      </c>
      <c r="E176" s="75"/>
      <c r="F176" s="75"/>
    </row>
    <row r="177" spans="1:6" outlineLevel="1" x14ac:dyDescent="0.2">
      <c r="A177" s="173" t="s">
        <v>129</v>
      </c>
      <c r="B177" s="111">
        <v>1518.7429443394547</v>
      </c>
      <c r="E177" s="75"/>
      <c r="F177" s="75"/>
    </row>
    <row r="178" spans="1:6" outlineLevel="1" x14ac:dyDescent="0.2">
      <c r="A178" s="173" t="s">
        <v>130</v>
      </c>
      <c r="B178" s="111">
        <v>18456.191783664111</v>
      </c>
      <c r="E178" s="75"/>
      <c r="F178" s="75"/>
    </row>
    <row r="179" spans="1:6" outlineLevel="1" x14ac:dyDescent="0.2">
      <c r="A179" s="173" t="s">
        <v>131</v>
      </c>
      <c r="B179" s="111">
        <v>12891.58274255654</v>
      </c>
      <c r="E179" s="75"/>
      <c r="F179" s="75"/>
    </row>
    <row r="180" spans="1:6" outlineLevel="1" x14ac:dyDescent="0.2">
      <c r="A180" s="173" t="s">
        <v>132</v>
      </c>
      <c r="B180" s="111">
        <v>584.41590536790056</v>
      </c>
      <c r="E180" s="75"/>
      <c r="F180" s="75"/>
    </row>
    <row r="181" spans="1:6" outlineLevel="1" x14ac:dyDescent="0.2">
      <c r="A181" s="173" t="s">
        <v>133</v>
      </c>
      <c r="B181" s="111">
        <v>6797.3368858537269</v>
      </c>
      <c r="E181" s="75"/>
      <c r="F181" s="75"/>
    </row>
    <row r="182" spans="1:6" outlineLevel="1" x14ac:dyDescent="0.2">
      <c r="A182" s="173" t="s">
        <v>134</v>
      </c>
      <c r="B182" s="111">
        <v>3329.406821769513</v>
      </c>
      <c r="E182" s="75"/>
      <c r="F182" s="75"/>
    </row>
    <row r="183" spans="1:6" outlineLevel="1" x14ac:dyDescent="0.2">
      <c r="A183" s="173" t="s">
        <v>135</v>
      </c>
      <c r="B183" s="111">
        <v>18116.75985101657</v>
      </c>
      <c r="E183" s="75"/>
      <c r="F183" s="75"/>
    </row>
    <row r="184" spans="1:6" outlineLevel="1" x14ac:dyDescent="0.2">
      <c r="A184" s="173" t="s">
        <v>136</v>
      </c>
      <c r="B184" s="111">
        <v>7304.8851956476319</v>
      </c>
      <c r="E184" s="75"/>
      <c r="F184" s="75"/>
    </row>
    <row r="185" spans="1:6" outlineLevel="1" x14ac:dyDescent="0.2">
      <c r="A185" s="173" t="s">
        <v>142</v>
      </c>
      <c r="B185" s="111">
        <v>3974.6735140007572</v>
      </c>
      <c r="E185" s="75"/>
      <c r="F185" s="75"/>
    </row>
    <row r="186" spans="1:6" outlineLevel="1" x14ac:dyDescent="0.2">
      <c r="A186" s="179" t="s">
        <v>363</v>
      </c>
      <c r="B186" s="112">
        <v>300353.96415941883</v>
      </c>
      <c r="E186" s="75"/>
      <c r="F186" s="75"/>
    </row>
    <row r="187" spans="1:6" outlineLevel="1" x14ac:dyDescent="0.2">
      <c r="A187" s="179" t="s">
        <v>354</v>
      </c>
      <c r="B187" s="112">
        <v>1471295.8787998895</v>
      </c>
      <c r="E187" s="75"/>
      <c r="F187" s="75"/>
    </row>
    <row r="188" spans="1:6" x14ac:dyDescent="0.2">
      <c r="A188" s="104"/>
      <c r="B188" s="183"/>
      <c r="E188" s="75"/>
      <c r="F188" s="75"/>
    </row>
    <row r="189" spans="1:6" x14ac:dyDescent="0.2">
      <c r="A189" s="175"/>
      <c r="B189" s="175"/>
      <c r="E189" s="75"/>
      <c r="F189" s="75"/>
    </row>
    <row r="190" spans="1:6" ht="15" x14ac:dyDescent="0.2">
      <c r="A190" s="186" t="s">
        <v>369</v>
      </c>
      <c r="B190" s="175"/>
      <c r="E190" s="75"/>
      <c r="F190" s="75"/>
    </row>
    <row r="191" spans="1:6" ht="15" x14ac:dyDescent="0.2">
      <c r="A191" s="86" t="str">
        <f ca="1">PXL(ITEM(_Criteres(LIST(ITEM(_Data(LIST(ITEM(_Fonction("Somme"),_Code("MONTANT"),_Libelle("Montant")))),_PeriodeDebut(1),_affectationUF(TRUE),_Visible(TRUE),_Domaine("QUERY_VMSCINDIRECTES"),_Type(3),_PeriodeFin(13),_ID("202017739"),_TypeColonne("Annee"),_ChampDate("DATEDEBUTMOUVEMENT"),_AnneeFin($B$3),_Total("CALC"),_AnneeDebut($B$3),_NomColonne("Ch Ind #ANNEED")))),_Conditions(LIST(ITEM(_LibelleStructure("UF"),_Index(0),_Valeur($B$4),_Operateur("ET"),_TypeCondition("REQ_UF.CODE"),_OperateurComparaison("=")),ITEM(_LibelleStructure("SC"),_Index(1),_Valeur("P Hémato","P Hémato-Oncologie"),_Operateur("ET"),_TypeCondition("REQ_SC.CODE"),_OperateurComparaison("=")))),_ListDimensionDetail(LIST(ITEM(_LibelleStructure("RGP_SC_TypeSA"),_Visible(TRUE),_OptionsComplementaires(LIST("Origine","Producteur")),_Structure("RGP209944350.CODE"),_Options("Code"),_Taille(0)))),_Format(ITEM(_SepMilliers(" "),_NbDecimal(2),_SepDecimal(","))),_Version(2)),A191:B196,"RGP_SC_TypeSA")</f>
        <v>RGP_SC_TypeSA</v>
      </c>
      <c r="B191" s="178" t="s">
        <v>355</v>
      </c>
      <c r="D191" s="86"/>
      <c r="E191" s="178"/>
    </row>
    <row r="192" spans="1:6" x14ac:dyDescent="0.2">
      <c r="A192" s="187" t="s">
        <v>364</v>
      </c>
      <c r="B192" s="111">
        <v>21455.911971727837</v>
      </c>
      <c r="D192" s="187"/>
      <c r="E192" s="174"/>
    </row>
    <row r="193" spans="1:5" x14ac:dyDescent="0.2">
      <c r="A193" s="187" t="s">
        <v>365</v>
      </c>
      <c r="B193" s="111">
        <v>911329.87161350006</v>
      </c>
      <c r="D193" s="187"/>
      <c r="E193" s="174"/>
    </row>
    <row r="194" spans="1:5" x14ac:dyDescent="0.2">
      <c r="A194" s="187" t="s">
        <v>366</v>
      </c>
      <c r="B194" s="111">
        <v>238156.13105524282</v>
      </c>
      <c r="D194" s="187"/>
      <c r="E194" s="174"/>
    </row>
    <row r="195" spans="1:5" x14ac:dyDescent="0.2">
      <c r="A195" s="187" t="s">
        <v>367</v>
      </c>
      <c r="B195" s="111">
        <v>300353.96415941883</v>
      </c>
      <c r="D195" s="187"/>
      <c r="E195" s="174"/>
    </row>
    <row r="196" spans="1:5" x14ac:dyDescent="0.2">
      <c r="A196" s="104" t="s">
        <v>368</v>
      </c>
      <c r="B196" s="112">
        <v>1471295.8787998895</v>
      </c>
      <c r="D196" s="104"/>
      <c r="E196" s="180"/>
    </row>
    <row r="197" spans="1:5" x14ac:dyDescent="0.2">
      <c r="A197" s="175"/>
      <c r="B197" s="175"/>
    </row>
    <row r="198" spans="1:5" x14ac:dyDescent="0.2">
      <c r="A198" s="175"/>
      <c r="B198" s="175"/>
    </row>
    <row r="199" spans="1:5" ht="15" x14ac:dyDescent="0.2">
      <c r="A199" s="186" t="s">
        <v>370</v>
      </c>
      <c r="B199" s="175"/>
    </row>
    <row r="200" spans="1:5" ht="15" x14ac:dyDescent="0.2">
      <c r="A200" s="86" t="s">
        <v>371</v>
      </c>
      <c r="B200" s="188" t="s">
        <v>342</v>
      </c>
      <c r="C200" s="189" t="s">
        <v>323</v>
      </c>
      <c r="D200" s="189" t="s">
        <v>324</v>
      </c>
    </row>
    <row r="201" spans="1:5" x14ac:dyDescent="0.2">
      <c r="A201" s="190" t="s">
        <v>365</v>
      </c>
      <c r="B201" s="113">
        <f ca="1">PXL(ITEM(_Criteres(LIST(ITEM(_Data(LIST(ITEM(_Fonction("Somme"),_Code("MONTANT"),_Libelle("Montant")))),_PeriodeDebut(1),_affectationUF(TRUE),_Visible(TRUE),_Domaine("QUERY_VMSCINDIRECTES"),_Type(3),_PeriodeFin(13),_ID("2477945218"),_TypeColonne("Annee"),_ChampDate("DATEDEBUTMOUVEMENT"),_AnneeFin($B$3),_Total("CALC"),_AnneeDebut($B$3),_NomColonne("Ch Ind #ANNEED")))),_Conditions(LIST(ITEM(_LibelleStructure("UF"),_Index(0),_Valeur($B$4),_Operateur("ET"),_TypeCondition("REQ_UF.CODE"),_OperateurComparaison("=")),ITEM(_LibelleStructure("SC"),_Index(1),_Valeur("P Hémato","P Hémato-Oncologie"),_Operateur("ET"),_TypeCondition("REQ_SC.CODE"),_OperateurComparaison("=")),ITEM(_LibelleStructure("RGP_SC_TypeSA"),_Index(2),_Valeur($A201),_Operateur("ET"),_TypeCondition("RGP209944350.CODE (Code / Origine / Producteur)"),_OperateurComparaison("=")))),_ListDimensionDetail(LIST(ITEM(_LibelleStructure("RGP_SC_TypeSA"),_Visible(TRUE),_OptionsComplementaires(LIST("Origine","Producteur")),_Structure("RGP209944350.CODE"),_Options("Code"),_Taille(0)))),_Format(ITEM(_SepMilliers(" "),_NbDecimal(2),_SepDecimal(","))),_Options(ITEM(_AucunFormatage(TRUE),_ModeCellule(TRUE))),_Version(2)),B201:B201,911329.8716135)</f>
        <v>911329.87161350006</v>
      </c>
      <c r="C201" s="113">
        <f ca="1">PXL(ITEM(_Criteres(LIST(ITEM(_Data(LIST(ITEM(_Fonction("Somme"),_Code("MONTANT"),_Libelle("Montant")))),_PeriodeDebut(1),_affectationUF(TRUE),_Visible(TRUE),_Domaine("QUERY_VMSCINDIRECTES"),_Type(3),_PeriodeFin(13),_ID("247715319"),_TypeColonne("Annee"),_ChampDate("DATEDEBUTMOUVEMENT"),_AnneeFin($B$3),_Total("CALC"),_AnneeDebut($B$3),_NomColonne("Ch Ind #ANNEED")))),_Conditions(LIST(ITEM(_LibelleStructure("UF"),_Index(0),_Valeur($B$5),_Operateur("ET"),_TypeCondition("REQ_UF.CODE"),_OperateurComparaison("=")),ITEM(_LibelleStructure("SC"),_Index(1),_Valeur("P Hémato","P Hémato-Oncologie"),_Operateur("ET"),_TypeCondition("REQ_SC.CODE"),_OperateurComparaison("=")),ITEM(_LibelleStructure("RGP_SC_TypeSA"),_Index(2),_Valeur($A201),_Operateur("ET"),_TypeCondition("RGP209944350.CODE (Code / Origine / Producteur)"),_OperateurComparaison("=")))),_ListDimensionDetail(LIST(ITEM(_LibelleStructure("RGP_SC_TypeSA"),_Visible(TRUE),_OptionsComplementaires(LIST("Origine","Producteur")),_Structure("RGP209944350.CODE"),_Options("Code"),_Taille(0)))),_Format(ITEM(_SepMilliers(" "),_NbDecimal(2),_SepDecimal(","))),_Options(ITEM(_AucunFormatage(TRUE),_ModeCellule(TRUE))),_Version(2)),C201:C201,275656.585371654)</f>
        <v>275656.58537165402</v>
      </c>
      <c r="D201" s="113">
        <f ca="1">PXL(ITEM(_Criteres(LIST(ITEM(_Data(LIST(ITEM(_Fonction("Somme"),_Code("MONTANT"),_Libelle("Montant")))),_PeriodeDebut(1),_affectationUF(TRUE),_Visible(TRUE),_Domaine("QUERY_VMSCINDIRECTES"),_Type(3),_PeriodeFin(13),_ID("2471257"),_TypeColonne("Annee"),_ChampDate("DATEDEBUTMOUVEMENT"),_AnneeFin($B$3),_Total("CALC"),_AnneeDebut($B$3),_NomColonne("Ch Ind #ANNEED")))),_Conditions(LIST(ITEM(_LibelleStructure("UF"),_Index(0),_Valeur($B$6),_Operateur("ET"),_TypeCondition("REQ_UF.CODE"),_OperateurComparaison("=")),ITEM(_LibelleStructure("SC"),_Index(1),_Valeur("P Hémato","P Hémato-Oncologie"),_Operateur("ET"),_TypeCondition("REQ_SC.CODE"),_OperateurComparaison("=")),ITEM(_LibelleStructure("RGP_SC_TypeSA"),_Index(2),_Valeur($A201),_Operateur("ET"),_TypeCondition("RGP209944350.CODE (Code / Origine / Producteur)"),_OperateurComparaison("=")))),_ListDimensionDetail(LIST(ITEM(_LibelleStructure("RGP_SC_TypeSA"),_Visible(TRUE),_OptionsComplementaires(LIST("Origine","Producteur")),_Structure("RGP209944350.CODE"),_Options("Code"),_Taille(0)))),_Format(ITEM(_SepMilliers(" "),_NbDecimal(2),_SepDecimal(","))),_Options(ITEM(_AucunFormatage(TRUE),_ModeCellule(TRUE))),_Version(2)),D201:D201,397770.305964883)</f>
        <v>397770.30596488301</v>
      </c>
    </row>
    <row r="202" spans="1:5" x14ac:dyDescent="0.2">
      <c r="A202" s="190" t="s">
        <v>366</v>
      </c>
      <c r="B202" s="113">
        <f ca="1">PXL(ITEM(_Criteres(LIST(ITEM(_Data(LIST(ITEM(_Fonction("Somme"),_Code("MONTANT"),_Libelle("Montant")))),_PeriodeDebut(1),_affectationUF(TRUE),_Visible(TRUE),_Domaine("QUERY_VMSCINDIRECTES"),_Type(3),_PeriodeFin(13),_ID("2477945218"),_TypeColonne("Annee"),_ChampDate("DATEDEBUTMOUVEMENT"),_AnneeFin($B$3),_Total("CALC"),_AnneeDebut($B$3),_NomColonne("Ch Ind #ANNEED")))),_Conditions(LIST(ITEM(_LibelleStructure("UF"),_Index(0),_Valeur($B$4),_Operateur("ET"),_TypeCondition("REQ_UF.CODE"),_OperateurComparaison("=")),ITEM(_LibelleStructure("SC"),_Index(1),_Valeur("P Hémato","P Hémato-Oncologie"),_Operateur("ET"),_TypeCondition("REQ_SC.CODE"),_OperateurComparaison("=")),ITEM(_LibelleStructure("RGP_SC_TypeSA"),_Index(2),_Valeur($A202),_Operateur("ET"),_TypeCondition("RGP209944350.CODE (Code / Origine / Producteur)"),_OperateurComparaison("=")))),_ListDimensionDetail(LIST(ITEM(_LibelleStructure("RGP_SC_TypeSA"),_Visible(TRUE),_OptionsComplementaires(LIST("Origine","Producteur")),_Structure("RGP209944350.CODE"),_Options("Code"),_Taille(0)))),_Format(ITEM(_SepMilliers(" "),_NbDecimal(2),_SepDecimal(","))),_Options(ITEM(_AucunFormatage(TRUE),_ModeCellule(TRUE))),_Version(2)),B202:B202,238156.131055243)</f>
        <v>238156.13105524299</v>
      </c>
      <c r="C202" s="113">
        <f ca="1">PXL(ITEM(_Criteres(LIST(ITEM(_Data(LIST(ITEM(_Fonction("Somme"),_Code("MONTANT"),_Libelle("Montant")))),_PeriodeDebut(1),_affectationUF(TRUE),_Visible(TRUE),_Domaine("QUERY_VMSCINDIRECTES"),_Type(3),_PeriodeFin(13),_ID("247715319"),_TypeColonne("Annee"),_ChampDate("DATEDEBUTMOUVEMENT"),_AnneeFin($B$3),_Total("CALC"),_AnneeDebut($B$3),_NomColonne("Ch Ind #ANNEED")))),_Conditions(LIST(ITEM(_LibelleStructure("UF"),_Index(0),_Valeur($B$5),_Operateur("ET"),_TypeCondition("REQ_UF.CODE"),_OperateurComparaison("=")),ITEM(_LibelleStructure("SC"),_Index(1),_Valeur("P Hémato","P Hémato-Oncologie"),_Operateur("ET"),_TypeCondition("REQ_SC.CODE"),_OperateurComparaison("=")),ITEM(_LibelleStructure("RGP_SC_TypeSA"),_Index(2),_Valeur($A202),_Operateur("ET"),_TypeCondition("RGP209944350.CODE (Code / Origine / Producteur)"),_OperateurComparaison("=")))),_ListDimensionDetail(LIST(ITEM(_LibelleStructure("RGP_SC_TypeSA"),_Visible(TRUE),_OptionsComplementaires(LIST("Origine","Producteur")),_Structure("RGP209944350.CODE"),_Options("Code"),_Taille(0)))),_Format(ITEM(_SepMilliers(" "),_NbDecimal(2),_SepDecimal(","))),_Options(ITEM(_AucunFormatage(TRUE),_ModeCellule(TRUE))),_Version(2)),C202:C202,99348.7022047294)</f>
        <v>99348.702204729401</v>
      </c>
      <c r="D202" s="113">
        <f ca="1">PXL(ITEM(_Criteres(LIST(ITEM(_Data(LIST(ITEM(_Fonction("Somme"),_Code("MONTANT"),_Libelle("Montant")))),_PeriodeDebut(1),_affectationUF(TRUE),_Visible(TRUE),_Domaine("QUERY_VMSCINDIRECTES"),_Type(3),_PeriodeFin(13),_ID("2471257"),_TypeColonne("Annee"),_ChampDate("DATEDEBUTMOUVEMENT"),_AnneeFin($B$3),_Total("CALC"),_AnneeDebut($B$3),_NomColonne("Ch Ind #ANNEED")))),_Conditions(LIST(ITEM(_LibelleStructure("UF"),_Index(0),_Valeur($B$6),_Operateur("ET"),_TypeCondition("REQ_UF.CODE"),_OperateurComparaison("=")),ITEM(_LibelleStructure("SC"),_Index(1),_Valeur("P Hémato","P Hémato-Oncologie"),_Operateur("ET"),_TypeCondition("REQ_SC.CODE"),_OperateurComparaison("=")),ITEM(_LibelleStructure("RGP_SC_TypeSA"),_Index(2),_Valeur($A202),_Operateur("ET"),_TypeCondition("RGP209944350.CODE (Code / Origine / Producteur)"),_OperateurComparaison("=")))),_ListDimensionDetail(LIST(ITEM(_LibelleStructure("RGP_SC_TypeSA"),_Visible(TRUE),_OptionsComplementaires(LIST("Origine","Producteur")),_Structure("RGP209944350.CODE"),_Options("Code"),_Taille(0)))),_Format(ITEM(_SepMilliers(" "),_NbDecimal(2),_SepDecimal(","))),_Options(ITEM(_AucunFormatage(TRUE),_ModeCellule(TRUE))),_Version(2)),D202:D202,567002.802814162)</f>
        <v>567002.80281416199</v>
      </c>
    </row>
    <row r="203" spans="1:5" x14ac:dyDescent="0.2">
      <c r="A203" s="190" t="s">
        <v>367</v>
      </c>
      <c r="B203" s="113">
        <f ca="1">PXL(ITEM(_Criteres(LIST(ITEM(_Data(LIST(ITEM(_Fonction("Somme"),_Code("MONTANT"),_Libelle("Montant")))),_PeriodeDebut(1),_affectationUF(TRUE),_Visible(TRUE),_Domaine("QUERY_VMSCINDIRECTES"),_Type(3),_PeriodeFin(13),_ID("247779744"),_TypeColonne("Annee"),_ChampDate("DATEDEBUTMOUVEMENT"),_AnneeFin($B$3),_Total("CALC"),_AnneeDebut($B$3),_NomColonne("Ch Ind #ANNEED")))),_Conditions(LIST(ITEM(_LibelleStructure("UF"),_Index(0),_Valeur($B$4),_Operateur("ET"),_TypeCondition("REQ_UF.CODE"),_OperateurComparaison("=")),ITEM(_LibelleStructure("SC"),_Index(1),_Valeur("P Hémato","P Hémato-Oncologie"),_Operateur("ET"),_TypeCondition("REQ_SC.CODE"),_OperateurComparaison("=")),ITEM(_LibelleStructure("RGP_SC_TypeSA"),_Index(2),_Valeur($A203),_Operateur("ET"),_TypeCondition("RGP209944350.CODE (Code / Origine / Producteur)"),_OperateurComparaison("=")))),_ListDimensionDetail(LIST(ITEM(_LibelleStructure("RGP_SC_TypeSA"),_Visible(TRUE),_OptionsComplementaires(LIST("Origine","Producteur")),_Structure("RGP209944350.CODE"),_Options("Code"),_Taille(0)))),_Format(ITEM(_SepMilliers(" "),_NbDecimal(2),_SepDecimal(","))),_Options(ITEM(_AucunFormatage(TRUE),_ModeCellule(TRUE))),_Version(2)),B203:B203,300353.964159419)</f>
        <v>300353.964159419</v>
      </c>
      <c r="C203" s="113">
        <f ca="1">PXL(ITEM(_Criteres(LIST(ITEM(_Data(LIST(ITEM(_Fonction("Somme"),_Code("MONTANT"),_Libelle("Montant")))),_PeriodeDebut(1),_affectationUF(TRUE),_Visible(TRUE),_Domaine("QUERY_VMSCINDIRECTES"),_Type(3),_PeriodeFin(13),_ID("247715319"),_TypeColonne("Annee"),_ChampDate("DATEDEBUTMOUVEMENT"),_AnneeFin($B$3),_Total("CALC"),_AnneeDebut($B$3),_NomColonne("Ch Ind #ANNEED")))),_Conditions(LIST(ITEM(_LibelleStructure("UF"),_Index(0),_Valeur($B$5),_Operateur("ET"),_TypeCondition("REQ_UF.CODE"),_OperateurComparaison("=")),ITEM(_LibelleStructure("SC"),_Index(1),_Valeur("P Hémato","P Hémato-Oncologie"),_Operateur("ET"),_TypeCondition("REQ_SC.CODE"),_OperateurComparaison("=")),ITEM(_LibelleStructure("RGP_SC_TypeSA"),_Index(2),_Valeur($A203),_Operateur("ET"),_TypeCondition("RGP209944350.CODE (Code / Origine / Producteur)"),_OperateurComparaison("=")))),_ListDimensionDetail(LIST(ITEM(_LibelleStructure("RGP_SC_TypeSA"),_Visible(TRUE),_OptionsComplementaires(LIST("Origine","Producteur")),_Structure("RGP209944350.CODE"),_Options("Code"),_Taille(0)))),_Format(ITEM(_SepMilliers(" "),_NbDecimal(2),_SepDecimal(","))),_Options(ITEM(_AucunFormatage(TRUE),_ModeCellule(TRUE))),_Version(2)),C203:C203,106202.947109566)</f>
        <v>106202.947109566</v>
      </c>
      <c r="D203" s="113">
        <f ca="1">PXL(ITEM(_Criteres(LIST(ITEM(_Data(LIST(ITEM(_Fonction("Somme"),_Code("MONTANT"),_Libelle("Montant")))),_PeriodeDebut(1),_affectationUF(TRUE),_Visible(TRUE),_Domaine("QUERY_VMSCINDIRECTES"),_Type(3),_PeriodeFin(13),_ID("2471257"),_TypeColonne("Annee"),_ChampDate("DATEDEBUTMOUVEMENT"),_AnneeFin($B$3),_Total("CALC"),_AnneeDebut($B$3),_NomColonne("Ch Ind #ANNEED")))),_Conditions(LIST(ITEM(_LibelleStructure("UF"),_Index(0),_Valeur($B$6),_Operateur("ET"),_TypeCondition("REQ_UF.CODE"),_OperateurComparaison("=")),ITEM(_LibelleStructure("SC"),_Index(1),_Valeur("P Hémato","P Hémato-Oncologie"),_Operateur("ET"),_TypeCondition("REQ_SC.CODE"),_OperateurComparaison("=")),ITEM(_LibelleStructure("RGP_SC_TypeSA"),_Index(2),_Valeur($A203),_Operateur("ET"),_TypeCondition("RGP209944350.CODE (Code / Origine / Producteur)"),_OperateurComparaison("=")))),_ListDimensionDetail(LIST(ITEM(_LibelleStructure("RGP_SC_TypeSA"),_Visible(TRUE),_OptionsComplementaires(LIST("Origine","Producteur")),_Structure("RGP209944350.CODE"),_Options("Code"),_Taille(0)))),_Format(ITEM(_SepMilliers(" "),_NbDecimal(2),_SepDecimal(","))),_Options(ITEM(_AucunFormatage(TRUE),_ModeCellule(TRUE))),_Version(2)),D203:D203,101395.331483837)</f>
        <v>101395.331483837</v>
      </c>
    </row>
    <row r="204" spans="1:5" x14ac:dyDescent="0.2">
      <c r="A204" s="175"/>
      <c r="B204" s="104"/>
      <c r="C204" s="183"/>
      <c r="D204" s="116"/>
    </row>
    <row r="205" spans="1:5" x14ac:dyDescent="0.2">
      <c r="A205" s="175"/>
      <c r="B205" s="175"/>
      <c r="C205" s="116"/>
      <c r="D205" s="116"/>
    </row>
    <row r="206" spans="1:5" x14ac:dyDescent="0.2">
      <c r="A206" s="175"/>
      <c r="B206" s="175"/>
      <c r="C206" s="116"/>
      <c r="D206" s="116"/>
    </row>
    <row r="207" spans="1:5" x14ac:dyDescent="0.2">
      <c r="A207" s="175"/>
      <c r="B207" s="175"/>
      <c r="C207" s="116"/>
    </row>
    <row r="208" spans="1:5" x14ac:dyDescent="0.2">
      <c r="A208" s="175"/>
      <c r="B208" s="175"/>
    </row>
    <row r="209" spans="1:2" x14ac:dyDescent="0.2">
      <c r="A209" s="175"/>
      <c r="B209" s="175"/>
    </row>
    <row r="210" spans="1:2" x14ac:dyDescent="0.2">
      <c r="A210" s="175"/>
      <c r="B210" s="175"/>
    </row>
    <row r="211" spans="1:2" x14ac:dyDescent="0.2">
      <c r="A211" s="175"/>
      <c r="B211" s="175"/>
    </row>
    <row r="212" spans="1:2" x14ac:dyDescent="0.2">
      <c r="A212" s="175"/>
      <c r="B212" s="175"/>
    </row>
    <row r="213" spans="1:2" x14ac:dyDescent="0.2">
      <c r="A213" s="175"/>
      <c r="B213" s="175"/>
    </row>
    <row r="214" spans="1:2" x14ac:dyDescent="0.2">
      <c r="A214" s="175"/>
      <c r="B214" s="175"/>
    </row>
    <row r="215" spans="1:2" x14ac:dyDescent="0.2">
      <c r="A215" s="175"/>
      <c r="B215" s="175"/>
    </row>
    <row r="216" spans="1:2" x14ac:dyDescent="0.2">
      <c r="A216" s="175"/>
      <c r="B216" s="175"/>
    </row>
    <row r="217" spans="1:2" x14ac:dyDescent="0.2">
      <c r="A217" s="175"/>
      <c r="B217" s="175"/>
    </row>
    <row r="218" spans="1:2" x14ac:dyDescent="0.2">
      <c r="A218" s="175"/>
      <c r="B218" s="175"/>
    </row>
    <row r="219" spans="1:2" x14ac:dyDescent="0.2">
      <c r="A219" s="175"/>
      <c r="B219" s="175"/>
    </row>
    <row r="220" spans="1:2" x14ac:dyDescent="0.2">
      <c r="A220" s="175"/>
      <c r="B220" s="175"/>
    </row>
    <row r="221" spans="1:2" x14ac:dyDescent="0.2">
      <c r="A221" s="175"/>
      <c r="B221" s="175"/>
    </row>
    <row r="222" spans="1:2" x14ac:dyDescent="0.2">
      <c r="A222" s="175"/>
      <c r="B222" s="175"/>
    </row>
    <row r="223" spans="1:2" x14ac:dyDescent="0.2">
      <c r="A223" s="175"/>
      <c r="B223" s="175"/>
    </row>
    <row r="224" spans="1:2" x14ac:dyDescent="0.2">
      <c r="A224" s="175"/>
      <c r="B224" s="175"/>
    </row>
    <row r="225" spans="1:2" x14ac:dyDescent="0.2">
      <c r="A225" s="175"/>
      <c r="B225" s="175"/>
    </row>
    <row r="226" spans="1:2" x14ac:dyDescent="0.2">
      <c r="A226" s="175"/>
      <c r="B226" s="175"/>
    </row>
    <row r="227" spans="1:2" x14ac:dyDescent="0.2">
      <c r="A227" s="175"/>
      <c r="B227" s="175"/>
    </row>
    <row r="228" spans="1:2" x14ac:dyDescent="0.2">
      <c r="A228" s="175"/>
      <c r="B228" s="175"/>
    </row>
    <row r="229" spans="1:2" x14ac:dyDescent="0.2">
      <c r="A229" s="175"/>
      <c r="B229" s="175"/>
    </row>
    <row r="230" spans="1:2" x14ac:dyDescent="0.2">
      <c r="A230" s="175"/>
      <c r="B230" s="175"/>
    </row>
    <row r="231" spans="1:2" x14ac:dyDescent="0.2">
      <c r="A231" s="175"/>
      <c r="B231" s="175"/>
    </row>
    <row r="232" spans="1:2" x14ac:dyDescent="0.2">
      <c r="A232" s="175"/>
      <c r="B232" s="175"/>
    </row>
    <row r="233" spans="1:2" x14ac:dyDescent="0.2">
      <c r="A233" s="175"/>
      <c r="B233" s="175"/>
    </row>
    <row r="234" spans="1:2" x14ac:dyDescent="0.2">
      <c r="A234" s="175"/>
      <c r="B234" s="175"/>
    </row>
    <row r="235" spans="1:2" x14ac:dyDescent="0.2">
      <c r="A235" s="175"/>
      <c r="B235" s="175"/>
    </row>
    <row r="236" spans="1:2" x14ac:dyDescent="0.2">
      <c r="A236" s="175"/>
      <c r="B236" s="175"/>
    </row>
    <row r="237" spans="1:2" x14ac:dyDescent="0.2">
      <c r="A237" s="175"/>
      <c r="B237" s="175"/>
    </row>
    <row r="238" spans="1:2" x14ac:dyDescent="0.2">
      <c r="A238" s="175"/>
      <c r="B238" s="175"/>
    </row>
    <row r="239" spans="1:2" x14ac:dyDescent="0.2">
      <c r="A239" s="175"/>
      <c r="B239" s="175"/>
    </row>
    <row r="240" spans="1:2" x14ac:dyDescent="0.2">
      <c r="A240" s="175"/>
      <c r="B240" s="175"/>
    </row>
    <row r="241" spans="1:2" x14ac:dyDescent="0.2">
      <c r="A241" s="175"/>
      <c r="B241" s="175"/>
    </row>
    <row r="242" spans="1:2" x14ac:dyDescent="0.2">
      <c r="A242" s="175"/>
      <c r="B242" s="175"/>
    </row>
    <row r="243" spans="1:2" x14ac:dyDescent="0.2">
      <c r="A243" s="175"/>
      <c r="B243" s="175"/>
    </row>
    <row r="244" spans="1:2" x14ac:dyDescent="0.2">
      <c r="A244" s="175"/>
      <c r="B244" s="175"/>
    </row>
    <row r="245" spans="1:2" x14ac:dyDescent="0.2">
      <c r="A245" s="175"/>
      <c r="B245" s="175"/>
    </row>
    <row r="246" spans="1:2" x14ac:dyDescent="0.2">
      <c r="A246" s="175"/>
      <c r="B246" s="175"/>
    </row>
    <row r="247" spans="1:2" x14ac:dyDescent="0.2">
      <c r="A247" s="175"/>
      <c r="B247" s="175"/>
    </row>
    <row r="248" spans="1:2" x14ac:dyDescent="0.2">
      <c r="A248" s="175"/>
      <c r="B248" s="175"/>
    </row>
    <row r="249" spans="1:2" x14ac:dyDescent="0.2">
      <c r="A249" s="175"/>
      <c r="B249" s="175"/>
    </row>
    <row r="250" spans="1:2" x14ac:dyDescent="0.2">
      <c r="A250" s="175"/>
      <c r="B250" s="175"/>
    </row>
    <row r="251" spans="1:2" x14ac:dyDescent="0.2">
      <c r="A251" s="175"/>
      <c r="B251" s="174"/>
    </row>
    <row r="252" spans="1:2" x14ac:dyDescent="0.2">
      <c r="A252" s="175"/>
      <c r="B252" s="174"/>
    </row>
  </sheetData>
  <mergeCells count="5">
    <mergeCell ref="A1:F1"/>
    <mergeCell ref="A129:B129"/>
    <mergeCell ref="A132:B132"/>
    <mergeCell ref="A149:B149"/>
    <mergeCell ref="A159:B159"/>
  </mergeCells>
  <pageMargins left="0.7" right="0.7" top="0.75" bottom="0.75" header="0.3" footer="0.3"/>
  <pageSetup paperSize="9" orientation="portrait"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2"/>
  <dimension ref="A1:R53"/>
  <sheetViews>
    <sheetView workbookViewId="0"/>
  </sheetViews>
  <sheetFormatPr baseColWidth="10" defaultColWidth="11.5" defaultRowHeight="14" x14ac:dyDescent="0.2"/>
  <cols>
    <col min="1" max="1" width="11.5" style="75"/>
    <col min="2" max="2" width="49.33203125" style="75" bestFit="1" customWidth="1"/>
    <col min="3" max="18" width="11.5" style="85"/>
    <col min="19" max="16384" width="11.5" style="75"/>
  </cols>
  <sheetData>
    <row r="1" spans="1:18" ht="19" x14ac:dyDescent="0.25">
      <c r="A1" s="103" t="s">
        <v>144</v>
      </c>
    </row>
    <row r="3" spans="1:18" x14ac:dyDescent="0.2">
      <c r="A3" s="104" t="str">
        <f ca="1">PXL(ITEM(_Criteres(LIST(ITEM(_Format(ITEM(_SepMilliers(" "),_NbDecimal(0),_SepDecimal(","))),_Visible(TRUE),_Domaine("QUERY_VMSCBRUT"),_Type(3),_PeriodeFin(13),_TypeColonne("Annee"),_AnneeFin("2018"),_PeriodeDebut(1),_Data(LIST(ITEM(_Fonction("Somme"),_Code("MONTANT"),_Libelle("Montant")))),_affectationUF(TRUE),_ID("201911060909366471763"),_ChampDate("DATEDEBUTMOUVEMENT"),_AnneeDebut("2018"),_Total("SUM"),_NomColonne("Ch Brutes #ANNEED")))),_Conditions(LIST(ITEM(_LibelleStructure("Budget"),_Index(0),_Valeur("H"),_Operateur("ET"),_TypeCondition("REQ_BUDGET.CODE"),_OperateurComparaison("=")),ITEM(_LibelleStructure("Comptes"),_Index(1),_Valeur("H974%"),_Operateur("ET"),_TypeCondition("REQ_COMPTE.CODE"),_OperateurComparaison("&lt;&gt;")),ITEM(_LibelleStructure("SC"),_Index(2),_Valeur("P Hémato","P Hémato-Oncologie"),_Operateur("ET"),_TypeCondition("REQ_SC.CODE"),_OperateurComparaison("=")))),_ListDimensionDetail(LIST(ITEM(_LibelleStructure("CREA_RGP_CPT_ssTitre"),_Visible(TRUE),_Structure("RGP190582651.CODE"),_Options("Code et Libellé"),_Taille(0)))),_Format(ITEM(_SepMilliers(" "),_NbDecimal(0),_SepDecimal(","))),_Tri(LIST(ITEM(_Sens("Croissant"),_Colonne("REQ_TITRE.CODE"),_Champ("CODE")),ITEM(_Sens("Croissant"),_Colonne("REQ_TITRE.CODE"),_Champ("CODE")))),_ListDimensionColonne(LIST(ITEM(_LibelleStructure("SC"),_Visible(TRUE),_OptionsComplementaires(LIST("Destination","Producteur")),_Structure("REQ_SC.CODE"),_Options("Code"),_Taille(0)),ITEM(_LibelleStructure("UF"),_Visible(TRUE),_Structure("REQ_UF.CODE"),_Options("Code et Libellé"),_Taille(0)))),_ListDimensionGroupe(LIST(ITEM(_LibelleStructure("Titres"),_Visible(TRUE),_Structure("REQ_TITRE.CODE"),_Options("Code et Libellé"),_StructureParent("REQ_COMPTE.CODE"),_Taille(0))))),A3:Q53,"")</f>
        <v/>
      </c>
      <c r="B3" s="74"/>
      <c r="C3" s="861" t="s">
        <v>145</v>
      </c>
      <c r="D3" s="861"/>
      <c r="E3" s="861"/>
      <c r="F3" s="861"/>
      <c r="G3" s="861"/>
      <c r="H3" s="861"/>
      <c r="I3" s="861"/>
      <c r="J3" s="861"/>
      <c r="K3" s="861"/>
      <c r="L3" s="861"/>
      <c r="M3" s="861"/>
      <c r="N3" s="861"/>
      <c r="O3" s="861"/>
      <c r="P3" s="861"/>
      <c r="Q3" s="105"/>
      <c r="R3" s="105"/>
    </row>
    <row r="4" spans="1:18" ht="45" x14ac:dyDescent="0.2">
      <c r="A4" s="106" t="s">
        <v>146</v>
      </c>
      <c r="B4" s="106" t="s">
        <v>147</v>
      </c>
      <c r="C4" s="107" t="s">
        <v>148</v>
      </c>
      <c r="D4" s="108" t="s">
        <v>149</v>
      </c>
      <c r="E4" s="107" t="s">
        <v>150</v>
      </c>
      <c r="F4" s="107" t="s">
        <v>151</v>
      </c>
      <c r="G4" s="107" t="s">
        <v>152</v>
      </c>
      <c r="H4" s="108" t="s">
        <v>153</v>
      </c>
      <c r="I4" s="107" t="s">
        <v>154</v>
      </c>
      <c r="J4" s="107" t="s">
        <v>155</v>
      </c>
      <c r="K4" s="107" t="s">
        <v>156</v>
      </c>
      <c r="L4" s="108" t="s">
        <v>157</v>
      </c>
      <c r="M4" s="107" t="s">
        <v>158</v>
      </c>
      <c r="N4" s="108" t="s">
        <v>159</v>
      </c>
      <c r="O4" s="107" t="s">
        <v>160</v>
      </c>
      <c r="P4" s="107" t="s">
        <v>161</v>
      </c>
      <c r="Q4" s="109" t="s">
        <v>84</v>
      </c>
      <c r="R4" s="108" t="s">
        <v>85</v>
      </c>
    </row>
    <row r="5" spans="1:18" x14ac:dyDescent="0.2">
      <c r="A5" s="858" t="s">
        <v>162</v>
      </c>
      <c r="B5" s="858"/>
      <c r="C5" s="859"/>
      <c r="D5" s="859"/>
      <c r="E5" s="859"/>
      <c r="F5" s="859"/>
      <c r="G5" s="859"/>
      <c r="H5" s="860"/>
      <c r="I5" s="860"/>
      <c r="J5" s="860"/>
      <c r="K5" s="859"/>
      <c r="L5" s="860"/>
      <c r="M5" s="860"/>
      <c r="N5" s="859"/>
      <c r="O5" s="860"/>
      <c r="P5" s="860"/>
      <c r="Q5" s="859"/>
    </row>
    <row r="6" spans="1:18" x14ac:dyDescent="0.2">
      <c r="A6" s="110" t="s">
        <v>163</v>
      </c>
      <c r="B6" s="110" t="s">
        <v>164</v>
      </c>
      <c r="C6" s="111">
        <v>4338.7</v>
      </c>
      <c r="D6" s="111">
        <v>16005.84</v>
      </c>
      <c r="E6" s="111">
        <v>13180.9</v>
      </c>
      <c r="F6" s="111">
        <v>16296.59</v>
      </c>
      <c r="G6" s="111">
        <v>2794.68</v>
      </c>
      <c r="Q6" s="111">
        <v>52616.71</v>
      </c>
      <c r="R6" s="111">
        <f>+SUM(D6,H6,L6,N6)</f>
        <v>16005.84</v>
      </c>
    </row>
    <row r="7" spans="1:18" x14ac:dyDescent="0.2">
      <c r="A7" s="110" t="s">
        <v>165</v>
      </c>
      <c r="B7" s="110" t="s">
        <v>166</v>
      </c>
      <c r="C7" s="111">
        <v>148060.78</v>
      </c>
      <c r="D7" s="111">
        <v>69689.584799999997</v>
      </c>
      <c r="E7" s="111">
        <v>352000.29</v>
      </c>
      <c r="F7" s="111">
        <v>203789.73</v>
      </c>
      <c r="G7" s="111">
        <v>88551.22</v>
      </c>
      <c r="Q7" s="111">
        <v>862091.60479999997</v>
      </c>
      <c r="R7" s="111">
        <f t="shared" ref="R7:R53" si="0">+SUM(D7,H7,L7,N7)</f>
        <v>69689.584799999997</v>
      </c>
    </row>
    <row r="8" spans="1:18" x14ac:dyDescent="0.2">
      <c r="A8" s="110" t="s">
        <v>167</v>
      </c>
      <c r="B8" s="110" t="s">
        <v>168</v>
      </c>
      <c r="D8" s="111">
        <v>5215.7299999999996</v>
      </c>
      <c r="E8" s="111">
        <v>86609.66</v>
      </c>
      <c r="Q8" s="111">
        <v>91825.39</v>
      </c>
      <c r="R8" s="111">
        <f t="shared" si="0"/>
        <v>5215.7299999999996</v>
      </c>
    </row>
    <row r="9" spans="1:18" x14ac:dyDescent="0.2">
      <c r="A9" s="110" t="s">
        <v>169</v>
      </c>
      <c r="B9" s="110" t="s">
        <v>11</v>
      </c>
      <c r="C9" s="111">
        <v>134748.63</v>
      </c>
      <c r="D9" s="111">
        <v>1471571.7674915737</v>
      </c>
      <c r="E9" s="111">
        <v>463245.54</v>
      </c>
      <c r="F9" s="111">
        <v>913168.9</v>
      </c>
      <c r="G9" s="111">
        <v>5965.14</v>
      </c>
      <c r="K9" s="111">
        <v>279076.24</v>
      </c>
      <c r="N9" s="111">
        <v>96064.35</v>
      </c>
      <c r="Q9" s="111">
        <v>3363840.5674915737</v>
      </c>
      <c r="R9" s="111">
        <f t="shared" si="0"/>
        <v>1567636.1174915738</v>
      </c>
    </row>
    <row r="10" spans="1:18" x14ac:dyDescent="0.2">
      <c r="A10" s="862" t="s">
        <v>170</v>
      </c>
      <c r="B10" s="862"/>
      <c r="C10" s="112">
        <v>287148.11</v>
      </c>
      <c r="D10" s="112">
        <v>1562482.9222915738</v>
      </c>
      <c r="E10" s="112">
        <v>915036.39</v>
      </c>
      <c r="F10" s="112">
        <v>1133255.22</v>
      </c>
      <c r="G10" s="112">
        <v>97311.039999999994</v>
      </c>
      <c r="H10" s="113">
        <v>0</v>
      </c>
      <c r="I10" s="113">
        <v>0</v>
      </c>
      <c r="J10" s="113">
        <v>0</v>
      </c>
      <c r="K10" s="112">
        <v>279076.24</v>
      </c>
      <c r="L10" s="113">
        <v>0</v>
      </c>
      <c r="M10" s="113">
        <v>0</v>
      </c>
      <c r="N10" s="112">
        <v>96064.35</v>
      </c>
      <c r="O10" s="113">
        <v>0</v>
      </c>
      <c r="P10" s="113">
        <v>0</v>
      </c>
      <c r="Q10" s="112">
        <v>4370374.2722915737</v>
      </c>
      <c r="R10" s="112">
        <f t="shared" si="0"/>
        <v>1658547.2722915739</v>
      </c>
    </row>
    <row r="11" spans="1:18" x14ac:dyDescent="0.2">
      <c r="A11" s="858" t="s">
        <v>171</v>
      </c>
      <c r="B11" s="858"/>
      <c r="C11" s="863"/>
      <c r="D11" s="863"/>
      <c r="E11" s="863"/>
      <c r="F11" s="863"/>
      <c r="G11" s="863"/>
      <c r="H11" s="863"/>
      <c r="I11" s="863"/>
      <c r="J11" s="863"/>
      <c r="K11" s="863"/>
      <c r="L11" s="863"/>
      <c r="M11" s="863"/>
      <c r="N11" s="863"/>
      <c r="O11" s="863"/>
      <c r="P11" s="863"/>
      <c r="Q11" s="863"/>
      <c r="R11" s="85">
        <f t="shared" si="0"/>
        <v>0</v>
      </c>
    </row>
    <row r="12" spans="1:18" x14ac:dyDescent="0.2">
      <c r="A12" s="110" t="s">
        <v>172</v>
      </c>
      <c r="B12" s="110" t="s">
        <v>172</v>
      </c>
      <c r="C12" s="114">
        <v>-8280.5392321570507</v>
      </c>
      <c r="D12" s="114">
        <v>-49091.562933972127</v>
      </c>
      <c r="E12" s="114">
        <v>-36125.086646680436</v>
      </c>
      <c r="F12" s="114">
        <v>-35904.54111677991</v>
      </c>
      <c r="G12" s="114">
        <v>-25930.364053017183</v>
      </c>
      <c r="H12" s="114">
        <v>-127.8851748015404</v>
      </c>
      <c r="I12" s="114">
        <v>-666.33374132756967</v>
      </c>
      <c r="K12" s="114">
        <v>-19043.543549498059</v>
      </c>
      <c r="L12" s="114">
        <v>-128.86354354843627</v>
      </c>
      <c r="M12" s="114">
        <v>-47.542776718236098</v>
      </c>
      <c r="N12" s="114">
        <v>-4190.0765747616033</v>
      </c>
      <c r="O12" s="114">
        <v>-29.108924322360355</v>
      </c>
      <c r="P12" s="114">
        <v>-184.74399617911254</v>
      </c>
      <c r="Q12" s="114">
        <v>-179750.19226376363</v>
      </c>
      <c r="R12" s="114">
        <f t="shared" si="0"/>
        <v>-53538.388227083706</v>
      </c>
    </row>
    <row r="13" spans="1:18" x14ac:dyDescent="0.2">
      <c r="A13" s="110" t="s">
        <v>173</v>
      </c>
      <c r="B13" s="110" t="s">
        <v>174</v>
      </c>
      <c r="C13" s="114">
        <v>-236576.80007702473</v>
      </c>
      <c r="Q13" s="114">
        <v>-236576.80007702473</v>
      </c>
      <c r="R13" s="114">
        <f t="shared" si="0"/>
        <v>0</v>
      </c>
    </row>
    <row r="14" spans="1:18" x14ac:dyDescent="0.2">
      <c r="A14" s="110" t="s">
        <v>175</v>
      </c>
      <c r="B14" s="110" t="s">
        <v>175</v>
      </c>
      <c r="C14" s="114">
        <v>-13171.55161623831</v>
      </c>
      <c r="D14" s="114">
        <v>-93627.461022595133</v>
      </c>
      <c r="E14" s="114">
        <v>-577655.87748028932</v>
      </c>
      <c r="F14" s="114">
        <v>-54658.723656418966</v>
      </c>
      <c r="G14" s="114">
        <v>-46401.768051362094</v>
      </c>
      <c r="H14" s="114">
        <v>-138.69856892772717</v>
      </c>
      <c r="I14" s="114">
        <v>-720.85265159747485</v>
      </c>
      <c r="K14" s="114">
        <v>-22239.066749644924</v>
      </c>
      <c r="L14" s="114">
        <v>-138.21887577074546</v>
      </c>
      <c r="M14" s="114">
        <v>-50.991578581383671</v>
      </c>
      <c r="N14" s="114">
        <v>-4547.3010318368479</v>
      </c>
      <c r="O14" s="114">
        <v>-31.220515595881217</v>
      </c>
      <c r="P14" s="114">
        <v>-198.16153556764621</v>
      </c>
      <c r="Q14" s="114">
        <v>-813579.89333442645</v>
      </c>
      <c r="R14" s="114">
        <f t="shared" si="0"/>
        <v>-98451.679499130449</v>
      </c>
    </row>
    <row r="15" spans="1:18" x14ac:dyDescent="0.2">
      <c r="A15" s="110" t="s">
        <v>176</v>
      </c>
      <c r="B15" s="110" t="s">
        <v>177</v>
      </c>
      <c r="C15" s="114">
        <v>-4744.3893575116163</v>
      </c>
      <c r="D15" s="111">
        <v>4092.5403529845771</v>
      </c>
      <c r="E15" s="114">
        <v>-2087.1784577210938</v>
      </c>
      <c r="F15" s="111">
        <v>12985.943617790026</v>
      </c>
      <c r="G15" s="111">
        <v>72294.810796782142</v>
      </c>
      <c r="H15" s="114">
        <v>-627.47726140847067</v>
      </c>
      <c r="I15" s="114">
        <v>-2087.9995271277176</v>
      </c>
      <c r="K15" s="114">
        <v>-2329.1436066365454</v>
      </c>
      <c r="L15" s="114">
        <v>-5137.771720658372</v>
      </c>
      <c r="M15" s="114">
        <v>-117.86351201670934</v>
      </c>
      <c r="O15" s="114">
        <v>-3368.1769015944842</v>
      </c>
      <c r="P15" s="114">
        <v>-4964.1856324482223</v>
      </c>
      <c r="Q15" s="111">
        <v>63909.108790433507</v>
      </c>
      <c r="R15" s="111">
        <f t="shared" si="0"/>
        <v>-1672.7086290822654</v>
      </c>
    </row>
    <row r="16" spans="1:18" x14ac:dyDescent="0.2">
      <c r="A16" s="110" t="s">
        <v>178</v>
      </c>
      <c r="B16" s="110" t="s">
        <v>179</v>
      </c>
      <c r="E16" s="114">
        <v>-1330984.0900000001</v>
      </c>
      <c r="H16" s="114">
        <v>-316800.53999999998</v>
      </c>
      <c r="I16" s="114">
        <v>-745000.12</v>
      </c>
      <c r="J16" s="114">
        <v>-84075.06</v>
      </c>
      <c r="K16" s="114">
        <v>-2405077.06</v>
      </c>
      <c r="L16" s="114">
        <v>-1638207.29</v>
      </c>
      <c r="M16" s="114">
        <v>-20741.23</v>
      </c>
      <c r="N16" s="114">
        <v>-184099.64</v>
      </c>
      <c r="O16" s="114">
        <v>-1297588.25</v>
      </c>
      <c r="P16" s="114">
        <v>-1629523.64</v>
      </c>
      <c r="Q16" s="114">
        <v>-9652096.9199999999</v>
      </c>
      <c r="R16" s="114">
        <f t="shared" si="0"/>
        <v>-2139107.4700000002</v>
      </c>
    </row>
    <row r="17" spans="1:18" x14ac:dyDescent="0.2">
      <c r="A17" s="110" t="s">
        <v>180</v>
      </c>
      <c r="B17" s="110" t="s">
        <v>181</v>
      </c>
      <c r="D17" s="114">
        <v>-4024.0664780846341</v>
      </c>
      <c r="E17" s="114">
        <v>-736889.12884158129</v>
      </c>
      <c r="G17" s="114">
        <v>-2119766.628345347</v>
      </c>
      <c r="K17" s="114">
        <v>-247924.7472570141</v>
      </c>
      <c r="N17" s="114">
        <v>-6438.1217331846819</v>
      </c>
      <c r="Q17" s="114">
        <v>-3115042.6926552118</v>
      </c>
      <c r="R17" s="114">
        <f t="shared" si="0"/>
        <v>-10462.188211269317</v>
      </c>
    </row>
    <row r="18" spans="1:18" x14ac:dyDescent="0.2">
      <c r="A18" s="110" t="s">
        <v>182</v>
      </c>
      <c r="B18" s="110" t="s">
        <v>182</v>
      </c>
      <c r="C18" s="114">
        <v>-11877.472501418248</v>
      </c>
      <c r="D18" s="114">
        <v>-116772.20537440797</v>
      </c>
      <c r="E18" s="114">
        <v>-159227.55727258892</v>
      </c>
      <c r="F18" s="114">
        <v>-83028.61579752028</v>
      </c>
      <c r="G18" s="114">
        <v>-213356.28927567051</v>
      </c>
      <c r="H18" s="114">
        <v>-41063.294027376374</v>
      </c>
      <c r="I18" s="114">
        <v>-2379.5955258035679</v>
      </c>
      <c r="K18" s="114">
        <v>-39236.233918795209</v>
      </c>
      <c r="L18" s="114">
        <v>-185.45239867949138</v>
      </c>
      <c r="M18" s="114">
        <v>-67.786043809996698</v>
      </c>
      <c r="N18" s="114">
        <v>-7713.2096842849032</v>
      </c>
      <c r="O18" s="114">
        <v>-41.503230471192502</v>
      </c>
      <c r="P18" s="114">
        <v>-267.11056447729737</v>
      </c>
      <c r="Q18" s="114">
        <v>-675216.32561530394</v>
      </c>
      <c r="R18" s="114">
        <f t="shared" si="0"/>
        <v>-165734.16148474874</v>
      </c>
    </row>
    <row r="19" spans="1:18" x14ac:dyDescent="0.2">
      <c r="A19" s="110" t="s">
        <v>183</v>
      </c>
      <c r="B19" s="110" t="s">
        <v>184</v>
      </c>
      <c r="D19" s="114">
        <v>-141173.21679106826</v>
      </c>
      <c r="E19" s="114">
        <v>-146672.0411675839</v>
      </c>
      <c r="F19" s="114">
        <v>-444226.23321703577</v>
      </c>
      <c r="G19" s="114">
        <v>-3436451.154370314</v>
      </c>
      <c r="H19" s="114">
        <v>-4655.3535266774907</v>
      </c>
      <c r="I19" s="114">
        <v>-31449.843217651312</v>
      </c>
      <c r="K19" s="114">
        <v>-213355.38481905087</v>
      </c>
      <c r="L19" s="114">
        <v>-37.839223644312931</v>
      </c>
      <c r="N19" s="114">
        <v>-36912.941003488304</v>
      </c>
      <c r="Q19" s="114">
        <v>-4454934.0073365141</v>
      </c>
      <c r="R19" s="114">
        <f t="shared" si="0"/>
        <v>-182779.3505448784</v>
      </c>
    </row>
    <row r="20" spans="1:18" x14ac:dyDescent="0.2">
      <c r="A20" s="110" t="s">
        <v>185</v>
      </c>
      <c r="B20" s="110" t="s">
        <v>186</v>
      </c>
      <c r="E20" s="114">
        <v>-65159.111928827653</v>
      </c>
      <c r="K20" s="114">
        <v>-62755.991857690948</v>
      </c>
      <c r="N20" s="114">
        <v>-33214.240983201649</v>
      </c>
      <c r="Q20" s="114">
        <v>-161129.34476972025</v>
      </c>
      <c r="R20" s="114">
        <f t="shared" si="0"/>
        <v>-33214.240983201649</v>
      </c>
    </row>
    <row r="21" spans="1:18" x14ac:dyDescent="0.2">
      <c r="A21" s="862" t="s">
        <v>187</v>
      </c>
      <c r="B21" s="862"/>
      <c r="C21" s="115">
        <v>-274650.75278434996</v>
      </c>
      <c r="D21" s="115">
        <v>-400595.97224714357</v>
      </c>
      <c r="E21" s="115">
        <v>-3054800.0717952726</v>
      </c>
      <c r="F21" s="115">
        <v>-604832.1701699649</v>
      </c>
      <c r="G21" s="115">
        <v>-5769611.3932989286</v>
      </c>
      <c r="H21" s="115">
        <v>-363413.24855919159</v>
      </c>
      <c r="I21" s="115">
        <v>-782304.74466350768</v>
      </c>
      <c r="J21" s="115">
        <v>-84075.06</v>
      </c>
      <c r="K21" s="115">
        <v>-3011961.1717583304</v>
      </c>
      <c r="L21" s="115">
        <v>-1643835.4357623013</v>
      </c>
      <c r="M21" s="115">
        <v>-21025.413911126325</v>
      </c>
      <c r="N21" s="115">
        <v>-277115.53101075802</v>
      </c>
      <c r="O21" s="115">
        <v>-1301058.2595719839</v>
      </c>
      <c r="P21" s="115">
        <v>-1635137.8417286724</v>
      </c>
      <c r="Q21" s="115">
        <v>-19224417.067261532</v>
      </c>
      <c r="R21" s="115">
        <f t="shared" si="0"/>
        <v>-2684960.1875793943</v>
      </c>
    </row>
    <row r="22" spans="1:18" x14ac:dyDescent="0.2">
      <c r="A22" s="858" t="s">
        <v>188</v>
      </c>
      <c r="B22" s="858"/>
      <c r="C22" s="859"/>
      <c r="D22" s="859"/>
      <c r="E22" s="859"/>
      <c r="F22" s="859"/>
      <c r="G22" s="859"/>
      <c r="H22" s="859"/>
      <c r="I22" s="859"/>
      <c r="J22" s="860"/>
      <c r="K22" s="859"/>
      <c r="L22" s="859"/>
      <c r="M22" s="859"/>
      <c r="N22" s="859"/>
      <c r="O22" s="859"/>
      <c r="P22" s="859"/>
      <c r="Q22" s="859"/>
      <c r="R22" s="85">
        <f t="shared" si="0"/>
        <v>0</v>
      </c>
    </row>
    <row r="23" spans="1:18" x14ac:dyDescent="0.2">
      <c r="A23" s="110" t="s">
        <v>189</v>
      </c>
      <c r="B23" s="110" t="s">
        <v>189</v>
      </c>
      <c r="D23" s="111">
        <v>10593.63</v>
      </c>
      <c r="E23" s="111">
        <v>5190.78</v>
      </c>
      <c r="F23" s="111">
        <v>1242.93</v>
      </c>
      <c r="G23" s="111">
        <v>19.86</v>
      </c>
      <c r="K23" s="111">
        <v>1222.3499999999999</v>
      </c>
      <c r="Q23" s="111">
        <v>18269.55</v>
      </c>
      <c r="R23" s="111">
        <f t="shared" si="0"/>
        <v>10593.63</v>
      </c>
    </row>
    <row r="24" spans="1:18" x14ac:dyDescent="0.2">
      <c r="A24" s="110" t="s">
        <v>190</v>
      </c>
      <c r="B24" s="110" t="s">
        <v>190</v>
      </c>
      <c r="D24" s="111">
        <v>2962.16</v>
      </c>
      <c r="E24" s="111">
        <v>685.54</v>
      </c>
      <c r="F24" s="111">
        <v>97.55</v>
      </c>
      <c r="Q24" s="111">
        <v>3745.25</v>
      </c>
      <c r="R24" s="111">
        <f t="shared" si="0"/>
        <v>2962.16</v>
      </c>
    </row>
    <row r="25" spans="1:18" x14ac:dyDescent="0.2">
      <c r="A25" s="110" t="s">
        <v>191</v>
      </c>
      <c r="B25" s="110" t="s">
        <v>192</v>
      </c>
      <c r="D25" s="111">
        <v>45438.44</v>
      </c>
      <c r="E25" s="111">
        <v>12221.95</v>
      </c>
      <c r="F25" s="111">
        <v>79180.27</v>
      </c>
      <c r="G25" s="111">
        <v>2943.87</v>
      </c>
      <c r="K25" s="111">
        <v>1908.32</v>
      </c>
      <c r="N25" s="111">
        <v>1809.87</v>
      </c>
      <c r="Q25" s="111">
        <v>143502.72</v>
      </c>
      <c r="R25" s="111">
        <f t="shared" si="0"/>
        <v>47248.310000000005</v>
      </c>
    </row>
    <row r="26" spans="1:18" x14ac:dyDescent="0.2">
      <c r="A26" s="110" t="s">
        <v>193</v>
      </c>
      <c r="B26" s="110" t="s">
        <v>194</v>
      </c>
      <c r="D26" s="111">
        <v>31908.99</v>
      </c>
      <c r="E26" s="111">
        <v>1876.91</v>
      </c>
      <c r="F26" s="111">
        <v>3577.61</v>
      </c>
      <c r="K26" s="111">
        <v>3553.6</v>
      </c>
      <c r="N26" s="111">
        <v>700.41</v>
      </c>
      <c r="Q26" s="111">
        <v>41617.519999999997</v>
      </c>
      <c r="R26" s="111">
        <f t="shared" si="0"/>
        <v>32609.4</v>
      </c>
    </row>
    <row r="27" spans="1:18" x14ac:dyDescent="0.2">
      <c r="A27" s="110" t="s">
        <v>195</v>
      </c>
      <c r="B27" s="110" t="s">
        <v>196</v>
      </c>
      <c r="G27" s="116">
        <v>0</v>
      </c>
      <c r="Q27" s="116">
        <v>0</v>
      </c>
      <c r="R27" s="116">
        <f t="shared" si="0"/>
        <v>0</v>
      </c>
    </row>
    <row r="28" spans="1:18" x14ac:dyDescent="0.2">
      <c r="A28" s="110" t="s">
        <v>197</v>
      </c>
      <c r="B28" s="110" t="s">
        <v>198</v>
      </c>
      <c r="D28" s="111">
        <v>983.44</v>
      </c>
      <c r="E28" s="111">
        <v>180088.04</v>
      </c>
      <c r="G28" s="111">
        <v>518048.92</v>
      </c>
      <c r="K28" s="111">
        <v>60590.23</v>
      </c>
      <c r="N28" s="111">
        <v>1573.41</v>
      </c>
      <c r="Q28" s="111">
        <v>761284.04</v>
      </c>
      <c r="R28" s="111">
        <f t="shared" si="0"/>
        <v>2556.8500000000004</v>
      </c>
    </row>
    <row r="29" spans="1:18" x14ac:dyDescent="0.2">
      <c r="A29" s="110" t="s">
        <v>199</v>
      </c>
      <c r="B29" s="110" t="s">
        <v>200</v>
      </c>
      <c r="C29" s="111">
        <v>227.42</v>
      </c>
      <c r="D29" s="111">
        <v>85571.05</v>
      </c>
      <c r="E29" s="111">
        <v>161057.59</v>
      </c>
      <c r="F29" s="111">
        <v>55456.21</v>
      </c>
      <c r="G29" s="111">
        <v>396672.94</v>
      </c>
      <c r="H29" s="111">
        <v>1121.73</v>
      </c>
      <c r="I29" s="111">
        <v>2996.06</v>
      </c>
      <c r="K29" s="111">
        <v>201295.1</v>
      </c>
      <c r="L29" s="111">
        <v>4725.8500000000004</v>
      </c>
      <c r="M29" s="111">
        <v>1743.55</v>
      </c>
      <c r="N29" s="111">
        <v>21735.3</v>
      </c>
      <c r="O29" s="111">
        <v>301.88</v>
      </c>
      <c r="P29" s="111">
        <v>6064.68</v>
      </c>
      <c r="Q29" s="111">
        <v>938969.36</v>
      </c>
      <c r="R29" s="111">
        <f t="shared" si="0"/>
        <v>113153.93000000001</v>
      </c>
    </row>
    <row r="30" spans="1:18" x14ac:dyDescent="0.2">
      <c r="A30" s="110" t="s">
        <v>201</v>
      </c>
      <c r="B30" s="110" t="s">
        <v>202</v>
      </c>
      <c r="D30" s="111">
        <v>165053.68</v>
      </c>
      <c r="E30" s="111">
        <v>171482.67</v>
      </c>
      <c r="F30" s="111">
        <v>519370.29</v>
      </c>
      <c r="G30" s="111">
        <v>4017751.54</v>
      </c>
      <c r="H30" s="111">
        <v>5442.84</v>
      </c>
      <c r="I30" s="111">
        <v>36769.81</v>
      </c>
      <c r="K30" s="111">
        <v>249445.98</v>
      </c>
      <c r="L30" s="111">
        <v>44.24</v>
      </c>
      <c r="N30" s="111">
        <v>43157.03</v>
      </c>
      <c r="Q30" s="111">
        <v>5208518.08</v>
      </c>
      <c r="R30" s="111">
        <f>+SUM(D30,H30,L30,N30)</f>
        <v>213697.78999999998</v>
      </c>
    </row>
    <row r="31" spans="1:18" x14ac:dyDescent="0.2">
      <c r="A31" s="110" t="s">
        <v>203</v>
      </c>
      <c r="B31" s="110" t="s">
        <v>204</v>
      </c>
      <c r="C31" s="111">
        <v>10559.56</v>
      </c>
      <c r="D31" s="111">
        <v>115358.89</v>
      </c>
      <c r="E31" s="111">
        <v>219208.76</v>
      </c>
      <c r="F31" s="111">
        <v>51046.79</v>
      </c>
      <c r="G31" s="111">
        <v>454376.21</v>
      </c>
      <c r="H31" s="111">
        <v>2040.39</v>
      </c>
      <c r="I31" s="111">
        <v>21440.59</v>
      </c>
      <c r="K31" s="111">
        <v>214583.51</v>
      </c>
      <c r="N31" s="111">
        <v>34025.96</v>
      </c>
      <c r="O31" s="111">
        <v>765.64</v>
      </c>
      <c r="P31" s="111">
        <v>710.49</v>
      </c>
      <c r="Q31" s="111">
        <v>1124116.79</v>
      </c>
      <c r="R31" s="111">
        <f t="shared" si="0"/>
        <v>151425.24</v>
      </c>
    </row>
    <row r="32" spans="1:18" x14ac:dyDescent="0.2">
      <c r="A32" s="110" t="s">
        <v>205</v>
      </c>
      <c r="B32" s="110" t="s">
        <v>205</v>
      </c>
      <c r="D32" s="114">
        <v>-744.84</v>
      </c>
      <c r="Q32" s="114">
        <v>-744.84</v>
      </c>
      <c r="R32" s="114">
        <f t="shared" si="0"/>
        <v>-744.84</v>
      </c>
    </row>
    <row r="33" spans="1:18" x14ac:dyDescent="0.2">
      <c r="A33" s="862" t="s">
        <v>206</v>
      </c>
      <c r="B33" s="862"/>
      <c r="C33" s="112">
        <v>10786.98</v>
      </c>
      <c r="D33" s="112">
        <v>457125.44</v>
      </c>
      <c r="E33" s="112">
        <v>751812.24</v>
      </c>
      <c r="F33" s="112">
        <v>709971.65</v>
      </c>
      <c r="G33" s="112">
        <v>5389813.3399999999</v>
      </c>
      <c r="H33" s="112">
        <v>8604.9599999999991</v>
      </c>
      <c r="I33" s="112">
        <v>61206.46</v>
      </c>
      <c r="J33" s="113">
        <v>0</v>
      </c>
      <c r="K33" s="112">
        <v>732599.09</v>
      </c>
      <c r="L33" s="112">
        <v>4770.09</v>
      </c>
      <c r="M33" s="112">
        <v>1743.55</v>
      </c>
      <c r="N33" s="112">
        <v>103001.98</v>
      </c>
      <c r="O33" s="112">
        <v>1067.52</v>
      </c>
      <c r="P33" s="112">
        <v>6775.17</v>
      </c>
      <c r="Q33" s="112">
        <v>8239278.4699999997</v>
      </c>
      <c r="R33" s="112">
        <f t="shared" si="0"/>
        <v>573502.47000000009</v>
      </c>
    </row>
    <row r="34" spans="1:18" x14ac:dyDescent="0.2">
      <c r="A34" s="858" t="s">
        <v>207</v>
      </c>
      <c r="B34" s="858"/>
      <c r="C34" s="863"/>
      <c r="D34" s="863"/>
      <c r="E34" s="863"/>
      <c r="F34" s="860"/>
      <c r="G34" s="860"/>
      <c r="H34" s="863"/>
      <c r="I34" s="863"/>
      <c r="J34" s="860"/>
      <c r="K34" s="863"/>
      <c r="L34" s="863"/>
      <c r="M34" s="863"/>
      <c r="N34" s="863"/>
      <c r="O34" s="863"/>
      <c r="P34" s="863"/>
      <c r="Q34" s="863"/>
      <c r="R34" s="85">
        <f t="shared" si="0"/>
        <v>0</v>
      </c>
    </row>
    <row r="35" spans="1:18" x14ac:dyDescent="0.2">
      <c r="A35" s="110" t="s">
        <v>208</v>
      </c>
      <c r="B35" s="110" t="s">
        <v>209</v>
      </c>
      <c r="C35" s="114">
        <v>-898.88</v>
      </c>
      <c r="Q35" s="114">
        <v>-898.88</v>
      </c>
      <c r="R35" s="114">
        <f t="shared" si="0"/>
        <v>0</v>
      </c>
    </row>
    <row r="36" spans="1:18" x14ac:dyDescent="0.2">
      <c r="A36" s="110" t="s">
        <v>210</v>
      </c>
      <c r="B36" s="110" t="s">
        <v>211</v>
      </c>
      <c r="C36" s="114">
        <v>-102.75</v>
      </c>
      <c r="I36" s="114">
        <v>-9801.7999999999993</v>
      </c>
      <c r="O36" s="114">
        <v>-10379</v>
      </c>
      <c r="Q36" s="114">
        <v>-20283.55</v>
      </c>
      <c r="R36" s="114">
        <f t="shared" si="0"/>
        <v>0</v>
      </c>
    </row>
    <row r="37" spans="1:18" x14ac:dyDescent="0.2">
      <c r="A37" s="110" t="s">
        <v>212</v>
      </c>
      <c r="B37" s="110" t="s">
        <v>213</v>
      </c>
      <c r="C37" s="114">
        <v>-15179.82</v>
      </c>
      <c r="Q37" s="114">
        <v>-15179.82</v>
      </c>
      <c r="R37" s="114">
        <f t="shared" si="0"/>
        <v>0</v>
      </c>
    </row>
    <row r="38" spans="1:18" x14ac:dyDescent="0.2">
      <c r="A38" s="110" t="s">
        <v>214</v>
      </c>
      <c r="B38" s="110" t="s">
        <v>215</v>
      </c>
      <c r="C38" s="114">
        <v>-358.8</v>
      </c>
      <c r="D38" s="114">
        <v>-3799.2</v>
      </c>
      <c r="E38" s="114">
        <v>-198385.05</v>
      </c>
      <c r="H38" s="114">
        <v>-6696</v>
      </c>
      <c r="I38" s="114">
        <v>-32648.2</v>
      </c>
      <c r="K38" s="114">
        <v>-213673.95</v>
      </c>
      <c r="L38" s="114">
        <v>-61917.38</v>
      </c>
      <c r="M38" s="114">
        <v>-269.60000000000002</v>
      </c>
      <c r="N38" s="114">
        <v>-12344</v>
      </c>
      <c r="O38" s="114">
        <v>-20947.38</v>
      </c>
      <c r="P38" s="114">
        <v>-16384.349999999999</v>
      </c>
      <c r="Q38" s="114">
        <v>-567423.91</v>
      </c>
      <c r="R38" s="114">
        <f t="shared" si="0"/>
        <v>-84756.58</v>
      </c>
    </row>
    <row r="39" spans="1:18" x14ac:dyDescent="0.2">
      <c r="A39" s="862" t="s">
        <v>216</v>
      </c>
      <c r="B39" s="862"/>
      <c r="C39" s="115">
        <v>-16540.25</v>
      </c>
      <c r="D39" s="115">
        <v>-3799.2</v>
      </c>
      <c r="E39" s="115">
        <v>-198385.05</v>
      </c>
      <c r="F39" s="113">
        <v>0</v>
      </c>
      <c r="G39" s="113">
        <v>0</v>
      </c>
      <c r="H39" s="115">
        <v>-6696</v>
      </c>
      <c r="I39" s="115">
        <v>-42450</v>
      </c>
      <c r="J39" s="113">
        <v>0</v>
      </c>
      <c r="K39" s="115">
        <v>-213673.95</v>
      </c>
      <c r="L39" s="115">
        <v>-61917.38</v>
      </c>
      <c r="M39" s="115">
        <v>-269.60000000000002</v>
      </c>
      <c r="N39" s="115">
        <v>-12344</v>
      </c>
      <c r="O39" s="115">
        <v>-31326.38</v>
      </c>
      <c r="P39" s="115">
        <v>-16384.349999999999</v>
      </c>
      <c r="Q39" s="115">
        <v>-603786.16</v>
      </c>
      <c r="R39" s="115">
        <f t="shared" si="0"/>
        <v>-84756.58</v>
      </c>
    </row>
    <row r="40" spans="1:18" x14ac:dyDescent="0.2">
      <c r="A40" s="858" t="s">
        <v>217</v>
      </c>
      <c r="B40" s="858"/>
      <c r="C40" s="859"/>
      <c r="D40" s="859"/>
      <c r="E40" s="859"/>
      <c r="F40" s="859"/>
      <c r="G40" s="859"/>
      <c r="H40" s="860"/>
      <c r="I40" s="860"/>
      <c r="J40" s="860"/>
      <c r="K40" s="859"/>
      <c r="L40" s="860"/>
      <c r="M40" s="860"/>
      <c r="N40" s="859"/>
      <c r="O40" s="860"/>
      <c r="P40" s="859"/>
      <c r="Q40" s="859"/>
      <c r="R40" s="85">
        <f t="shared" si="0"/>
        <v>0</v>
      </c>
    </row>
    <row r="41" spans="1:18" x14ac:dyDescent="0.2">
      <c r="A41" s="110" t="s">
        <v>218</v>
      </c>
      <c r="B41" s="195" t="s">
        <v>219</v>
      </c>
      <c r="C41" s="111">
        <v>7582.07</v>
      </c>
      <c r="D41" s="111">
        <v>40911.916424256393</v>
      </c>
      <c r="E41" s="111">
        <v>15162.57</v>
      </c>
      <c r="F41" s="111">
        <v>3943.06</v>
      </c>
      <c r="G41" s="111">
        <v>404.49</v>
      </c>
      <c r="K41" s="111">
        <v>8.64</v>
      </c>
      <c r="N41" s="111">
        <v>394.07</v>
      </c>
      <c r="P41" s="111">
        <v>57.99</v>
      </c>
      <c r="Q41" s="111">
        <v>68464.806424256385</v>
      </c>
      <c r="R41" s="111">
        <f t="shared" si="0"/>
        <v>41305.986424256393</v>
      </c>
    </row>
    <row r="42" spans="1:18" x14ac:dyDescent="0.2">
      <c r="A42" s="862" t="s">
        <v>220</v>
      </c>
      <c r="B42" s="862"/>
      <c r="C42" s="112">
        <v>7582.07</v>
      </c>
      <c r="D42" s="112">
        <v>40911.916424256393</v>
      </c>
      <c r="E42" s="112">
        <v>15162.57</v>
      </c>
      <c r="F42" s="112">
        <v>3943.06</v>
      </c>
      <c r="G42" s="112">
        <v>404.49</v>
      </c>
      <c r="H42" s="113">
        <v>0</v>
      </c>
      <c r="I42" s="113">
        <v>0</v>
      </c>
      <c r="J42" s="113">
        <v>0</v>
      </c>
      <c r="K42" s="112">
        <v>8.64</v>
      </c>
      <c r="L42" s="113">
        <v>0</v>
      </c>
      <c r="M42" s="113">
        <v>0</v>
      </c>
      <c r="N42" s="112">
        <v>394.07</v>
      </c>
      <c r="O42" s="113">
        <v>0</v>
      </c>
      <c r="P42" s="112">
        <v>57.99</v>
      </c>
      <c r="Q42" s="112">
        <v>68464.806424256385</v>
      </c>
      <c r="R42" s="112">
        <f t="shared" si="0"/>
        <v>41305.986424256393</v>
      </c>
    </row>
    <row r="43" spans="1:18" x14ac:dyDescent="0.2">
      <c r="A43" s="858" t="s">
        <v>221</v>
      </c>
      <c r="B43" s="858"/>
      <c r="C43" s="863"/>
      <c r="D43" s="863"/>
      <c r="E43" s="863"/>
      <c r="F43" s="863"/>
      <c r="G43" s="860"/>
      <c r="H43" s="863"/>
      <c r="I43" s="860"/>
      <c r="J43" s="860"/>
      <c r="K43" s="863"/>
      <c r="L43" s="863"/>
      <c r="M43" s="860"/>
      <c r="N43" s="863"/>
      <c r="O43" s="860"/>
      <c r="P43" s="860"/>
      <c r="Q43" s="863"/>
      <c r="R43" s="85">
        <f t="shared" si="0"/>
        <v>0</v>
      </c>
    </row>
    <row r="44" spans="1:18" x14ac:dyDescent="0.2">
      <c r="A44" s="110" t="s">
        <v>222</v>
      </c>
      <c r="B44" s="110" t="s">
        <v>223</v>
      </c>
      <c r="D44" s="114">
        <v>-41</v>
      </c>
      <c r="H44" s="114">
        <v>-491</v>
      </c>
      <c r="K44" s="114">
        <v>-2024.11</v>
      </c>
      <c r="N44" s="114">
        <v>-585</v>
      </c>
      <c r="Q44" s="114">
        <v>-3141.11</v>
      </c>
      <c r="R44" s="114">
        <f t="shared" si="0"/>
        <v>-1117</v>
      </c>
    </row>
    <row r="45" spans="1:18" x14ac:dyDescent="0.2">
      <c r="A45" s="110" t="s">
        <v>224</v>
      </c>
      <c r="B45" s="110" t="s">
        <v>225</v>
      </c>
      <c r="C45" s="114">
        <v>-58.2</v>
      </c>
      <c r="K45" s="114">
        <v>-234</v>
      </c>
      <c r="L45" s="114">
        <v>-1188</v>
      </c>
      <c r="Q45" s="114">
        <v>-1480.2</v>
      </c>
      <c r="R45" s="114">
        <f t="shared" si="0"/>
        <v>-1188</v>
      </c>
    </row>
    <row r="46" spans="1:18" x14ac:dyDescent="0.2">
      <c r="A46" s="110" t="s">
        <v>226</v>
      </c>
      <c r="B46" s="110" t="s">
        <v>227</v>
      </c>
      <c r="D46" s="114">
        <v>-232.09565811181901</v>
      </c>
      <c r="E46" s="114">
        <v>-246.69</v>
      </c>
      <c r="N46" s="114">
        <v>-1315.11</v>
      </c>
      <c r="Q46" s="114">
        <v>-1793.8956581118191</v>
      </c>
      <c r="R46" s="114">
        <f t="shared" si="0"/>
        <v>-1547.2056581118188</v>
      </c>
    </row>
    <row r="47" spans="1:18" x14ac:dyDescent="0.2">
      <c r="A47" s="110" t="s">
        <v>228</v>
      </c>
      <c r="B47" s="110" t="s">
        <v>229</v>
      </c>
      <c r="C47" s="114">
        <v>-264.78732635388582</v>
      </c>
      <c r="D47" s="114">
        <v>-28978.171339690634</v>
      </c>
      <c r="E47" s="114">
        <v>-3409.4932077991907</v>
      </c>
      <c r="F47" s="114">
        <v>-3667.0478756864227</v>
      </c>
      <c r="Q47" s="114">
        <v>-36319.499749530136</v>
      </c>
      <c r="R47" s="114">
        <f t="shared" si="0"/>
        <v>-28978.171339690634</v>
      </c>
    </row>
    <row r="48" spans="1:18" x14ac:dyDescent="0.2">
      <c r="A48" s="862" t="s">
        <v>230</v>
      </c>
      <c r="B48" s="862"/>
      <c r="C48" s="115">
        <v>-322.98732635388581</v>
      </c>
      <c r="D48" s="115">
        <v>-29251.266997802453</v>
      </c>
      <c r="E48" s="115">
        <v>-3656.1832077991908</v>
      </c>
      <c r="F48" s="115">
        <v>-3667.0478756864227</v>
      </c>
      <c r="G48" s="113">
        <v>0</v>
      </c>
      <c r="H48" s="115">
        <v>-491</v>
      </c>
      <c r="I48" s="113">
        <v>0</v>
      </c>
      <c r="J48" s="113">
        <v>0</v>
      </c>
      <c r="K48" s="115">
        <v>-2258.11</v>
      </c>
      <c r="L48" s="115">
        <v>-1188</v>
      </c>
      <c r="M48" s="113">
        <v>0</v>
      </c>
      <c r="N48" s="115">
        <v>-1900.11</v>
      </c>
      <c r="O48" s="113">
        <v>0</v>
      </c>
      <c r="P48" s="113">
        <v>0</v>
      </c>
      <c r="Q48" s="115">
        <v>-42734.705407641952</v>
      </c>
      <c r="R48" s="115">
        <f t="shared" si="0"/>
        <v>-32830.37699780245</v>
      </c>
    </row>
    <row r="49" spans="1:18" x14ac:dyDescent="0.2">
      <c r="A49" s="858" t="s">
        <v>231</v>
      </c>
      <c r="B49" s="858"/>
      <c r="C49" s="859"/>
      <c r="D49" s="859"/>
      <c r="E49" s="859"/>
      <c r="F49" s="859"/>
      <c r="G49" s="859"/>
      <c r="H49" s="859"/>
      <c r="I49" s="860"/>
      <c r="J49" s="860"/>
      <c r="K49" s="859"/>
      <c r="L49" s="859"/>
      <c r="M49" s="860"/>
      <c r="N49" s="860"/>
      <c r="O49" s="860"/>
      <c r="P49" s="859"/>
      <c r="Q49" s="859"/>
      <c r="R49" s="85">
        <f t="shared" si="0"/>
        <v>0</v>
      </c>
    </row>
    <row r="50" spans="1:18" x14ac:dyDescent="0.2">
      <c r="A50" s="110" t="s">
        <v>232</v>
      </c>
      <c r="B50" s="110" t="s">
        <v>233</v>
      </c>
      <c r="C50" s="111">
        <v>1073.8502459510501</v>
      </c>
      <c r="D50" s="111">
        <v>24618.834632114042</v>
      </c>
      <c r="E50" s="111">
        <v>16855.12</v>
      </c>
      <c r="F50" s="111">
        <v>5971.22</v>
      </c>
      <c r="G50" s="111">
        <v>440.77</v>
      </c>
      <c r="H50" s="111">
        <v>3695.36</v>
      </c>
      <c r="K50" s="111">
        <v>900.23535576409688</v>
      </c>
      <c r="L50" s="111">
        <v>1116.1630960748175</v>
      </c>
      <c r="P50" s="111">
        <v>95.28</v>
      </c>
      <c r="Q50" s="111">
        <v>54766.833329904002</v>
      </c>
      <c r="R50" s="111">
        <f t="shared" si="0"/>
        <v>29430.357728188861</v>
      </c>
    </row>
    <row r="51" spans="1:18" x14ac:dyDescent="0.2">
      <c r="A51" s="110" t="s">
        <v>234</v>
      </c>
      <c r="B51" s="110" t="s">
        <v>235</v>
      </c>
      <c r="C51" s="111">
        <v>14796.000272658424</v>
      </c>
      <c r="D51" s="111">
        <v>9264.0681867480671</v>
      </c>
      <c r="E51" s="111">
        <v>6987.0001287553669</v>
      </c>
      <c r="F51" s="111">
        <v>7279.4342711922973</v>
      </c>
      <c r="Q51" s="111">
        <v>38326.502859354157</v>
      </c>
      <c r="R51" s="111">
        <f t="shared" si="0"/>
        <v>9264.0681867480671</v>
      </c>
    </row>
    <row r="52" spans="1:18" x14ac:dyDescent="0.2">
      <c r="A52" s="862" t="s">
        <v>236</v>
      </c>
      <c r="B52" s="862"/>
      <c r="C52" s="112">
        <v>15869.850518609475</v>
      </c>
      <c r="D52" s="112">
        <v>33882.902818862109</v>
      </c>
      <c r="E52" s="112">
        <v>23842.120128755367</v>
      </c>
      <c r="F52" s="112">
        <v>13250.654271192298</v>
      </c>
      <c r="G52" s="112">
        <v>440.77</v>
      </c>
      <c r="H52" s="112">
        <v>3695.36</v>
      </c>
      <c r="I52" s="113">
        <v>0</v>
      </c>
      <c r="J52" s="113">
        <v>0</v>
      </c>
      <c r="K52" s="112">
        <v>900.23535576409688</v>
      </c>
      <c r="L52" s="112">
        <v>1116.1630960748175</v>
      </c>
      <c r="M52" s="113">
        <v>0</v>
      </c>
      <c r="N52" s="113">
        <v>0</v>
      </c>
      <c r="O52" s="113">
        <v>0</v>
      </c>
      <c r="P52" s="112">
        <v>95.28</v>
      </c>
      <c r="Q52" s="112">
        <v>93093.33618925816</v>
      </c>
      <c r="R52" s="112">
        <f t="shared" si="0"/>
        <v>38694.425914936925</v>
      </c>
    </row>
    <row r="53" spans="1:18" x14ac:dyDescent="0.2">
      <c r="A53" s="862" t="s">
        <v>237</v>
      </c>
      <c r="B53" s="862"/>
      <c r="C53" s="112">
        <v>29873.02040790562</v>
      </c>
      <c r="D53" s="112">
        <v>1660756.7422897462</v>
      </c>
      <c r="E53" s="115">
        <v>-1550987.9848743165</v>
      </c>
      <c r="F53" s="112">
        <v>1251921.3662255409</v>
      </c>
      <c r="G53" s="115">
        <v>-281641.75329892879</v>
      </c>
      <c r="H53" s="115">
        <v>-358299.92855919158</v>
      </c>
      <c r="I53" s="115">
        <v>-763548.2846635076</v>
      </c>
      <c r="J53" s="115">
        <v>-84075.06</v>
      </c>
      <c r="K53" s="115">
        <v>-2215309.0264025666</v>
      </c>
      <c r="L53" s="115">
        <v>-1701054.5626662266</v>
      </c>
      <c r="M53" s="115">
        <v>-19551.463911126324</v>
      </c>
      <c r="N53" s="115">
        <v>-91899.241010757993</v>
      </c>
      <c r="O53" s="115">
        <v>-1331317.1195719838</v>
      </c>
      <c r="P53" s="115">
        <v>-1644593.7517286723</v>
      </c>
      <c r="Q53" s="115">
        <v>-7099727.0477640852</v>
      </c>
      <c r="R53" s="115">
        <f t="shared" si="0"/>
        <v>-490496.98994642997</v>
      </c>
    </row>
  </sheetData>
  <mergeCells count="16">
    <mergeCell ref="A48:B48"/>
    <mergeCell ref="A49:Q49"/>
    <mergeCell ref="A52:B52"/>
    <mergeCell ref="A53:B53"/>
    <mergeCell ref="A33:B33"/>
    <mergeCell ref="A34:Q34"/>
    <mergeCell ref="A39:B39"/>
    <mergeCell ref="A40:Q40"/>
    <mergeCell ref="A42:B42"/>
    <mergeCell ref="A43:Q43"/>
    <mergeCell ref="A22:Q22"/>
    <mergeCell ref="C3:P3"/>
    <mergeCell ref="A5:Q5"/>
    <mergeCell ref="A10:B10"/>
    <mergeCell ref="A11:Q11"/>
    <mergeCell ref="A21:B21"/>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Feuilles de calcul</vt:lpstr>
      </vt:variant>
      <vt:variant>
        <vt:i4>29</vt:i4>
      </vt:variant>
      <vt:variant>
        <vt:lpstr>Plages nommées</vt:lpstr>
      </vt:variant>
      <vt:variant>
        <vt:i4>31</vt:i4>
      </vt:variant>
    </vt:vector>
  </HeadingPairs>
  <TitlesOfParts>
    <vt:vector size="60" baseType="lpstr">
      <vt:lpstr>note</vt:lpstr>
      <vt:lpstr>RESUME</vt:lpstr>
      <vt:lpstr>1- Avant Projet</vt:lpstr>
      <vt:lpstr>2- SYNTHESE FIN</vt:lpstr>
      <vt:lpstr>2.1 INVEST</vt:lpstr>
      <vt:lpstr>2.2 ACTIVITE RECETTES</vt:lpstr>
      <vt:lpstr>2.3 RH</vt:lpstr>
      <vt:lpstr>Maquette PM</vt:lpstr>
      <vt:lpstr>Maquette PNM</vt:lpstr>
      <vt:lpstr>2.4 Dep Med et MDT</vt:lpstr>
      <vt:lpstr>2.5 T3 Dep hot et induites</vt:lpstr>
      <vt:lpstr>3- EVALUATION</vt:lpstr>
      <vt:lpstr>CYCLE PROJET</vt:lpstr>
      <vt:lpstr>Valorisation</vt:lpstr>
      <vt:lpstr>NGS Projet recap financier</vt:lpstr>
      <vt:lpstr>Calculateur de prêt</vt:lpstr>
      <vt:lpstr>cout RH</vt:lpstr>
      <vt:lpstr>NGS maison bioinfo local</vt:lpstr>
      <vt:lpstr>recap</vt:lpstr>
      <vt:lpstr>NGS commercial bioinfo external</vt:lpstr>
      <vt:lpstr>mail</vt:lpstr>
      <vt:lpstr>mail MP</vt:lpstr>
      <vt:lpstr>LZHEMATO</vt:lpstr>
      <vt:lpstr>Feuil2</vt:lpstr>
      <vt:lpstr>RIHN-SST</vt:lpstr>
      <vt:lpstr>Listes déroulantes</vt:lpstr>
      <vt:lpstr>Cout par Jr HC</vt:lpstr>
      <vt:lpstr>Charges indirectes</vt:lpstr>
      <vt:lpstr>Charges directes</vt:lpstr>
      <vt:lpstr>An_1</vt:lpstr>
      <vt:lpstr>An_réf</vt:lpstr>
      <vt:lpstr>Ch_Indirect</vt:lpstr>
      <vt:lpstr>Ch_Induites</vt:lpstr>
      <vt:lpstr>Cod_projet</vt:lpstr>
      <vt:lpstr>Coût_Total</vt:lpstr>
      <vt:lpstr>Début_Prêt</vt:lpstr>
      <vt:lpstr>Durée_Prêt</vt:lpstr>
      <vt:lpstr>'1- Avant Projet'!Impression_des_titres</vt:lpstr>
      <vt:lpstr>'Calculateur de prêt'!Impression_des_titres</vt:lpstr>
      <vt:lpstr>Impression_Entière</vt:lpstr>
      <vt:lpstr>Montant_Prêt</vt:lpstr>
      <vt:lpstr>Nombre_Paiements</vt:lpstr>
      <vt:lpstr>'2.2 ACTIVITE RECETTES'!Recet_Marg</vt:lpstr>
      <vt:lpstr>Taux_Intérêt</vt:lpstr>
      <vt:lpstr>TitreColonne1</vt:lpstr>
      <vt:lpstr>Total_Intérêts</vt:lpstr>
      <vt:lpstr>'1- Avant Projet'!Zone_d_impression</vt:lpstr>
      <vt:lpstr>'2- SYNTHESE FIN'!Zone_d_impression</vt:lpstr>
      <vt:lpstr>'2.1 INVEST'!Zone_d_impression</vt:lpstr>
      <vt:lpstr>'2.2 ACTIVITE RECETTES'!Zone_d_impression</vt:lpstr>
      <vt:lpstr>'2.3 RH'!Zone_d_impression</vt:lpstr>
      <vt:lpstr>'2.5 T3 Dep hot et induites'!Zone_d_impression</vt:lpstr>
      <vt:lpstr>'3- EVALUATION'!Zone_d_impression</vt:lpstr>
      <vt:lpstr>'cout RH'!Zone_d_impression</vt:lpstr>
      <vt:lpstr>'CYCLE PROJET'!Zone_d_impression</vt:lpstr>
      <vt:lpstr>'NGS Projet recap financier'!Zone_d_impression</vt:lpstr>
      <vt:lpstr>RESUME!Zone_d_impression</vt:lpstr>
      <vt:lpstr>Valorisation!Zone_d_impression</vt:lpstr>
      <vt:lpstr>ZoneTitreLigne1..E6</vt:lpstr>
      <vt:lpstr>ZoneTitreLigne2..E11</vt:lpstr>
    </vt:vector>
  </TitlesOfParts>
  <Company>CHU DE LA REUNION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FRANCOIS AGAISE</dc:creator>
  <cp:lastModifiedBy>Patrick Munier</cp:lastModifiedBy>
  <cp:lastPrinted>2022-11-17T11:30:58Z</cp:lastPrinted>
  <dcterms:created xsi:type="dcterms:W3CDTF">2020-12-04T05:48:59Z</dcterms:created>
  <dcterms:modified xsi:type="dcterms:W3CDTF">2024-01-17T13:21:16Z</dcterms:modified>
</cp:coreProperties>
</file>